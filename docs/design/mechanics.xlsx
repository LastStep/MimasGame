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drawing8.xml" ContentType="application/vnd.openxmlformats-officedocument.drawing+xml"/>
  <Override PartName="/xl/drawings/vmlDrawing1.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vmlDrawing3.vml" ContentType="application/vnd.openxmlformats-officedocument.vmlDrawing"/>
  <Override PartName="/xl/drawings/drawing12.xml" ContentType="application/vnd.openxmlformats-officedocument.drawing+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Override PartName="/xl/comments6.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1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Mechanics" sheetId="2" state="visible" r:id="rId4"/>
    <sheet name="Relations" sheetId="3" state="visible" r:id="rId5"/>
    <sheet name="Triggers" sheetId="4" state="visible" r:id="rId6"/>
    <sheet name="Buildables" sheetId="5" state="visible" r:id="rId7"/>
    <sheet name="Abilities" sheetId="6" state="visible" r:id="rId8"/>
    <sheet name="Items" sheetId="7" state="visible" r:id="rId9"/>
    <sheet name="Bodies" sheetId="8" state="visible" r:id="rId10"/>
    <sheet name="Modifiers" sheetId="9" state="visible" r:id="rId11"/>
    <sheet name="Maps" sheetId="10" state="visible" r:id="rId12"/>
    <sheet name="Tunables" sheetId="11" state="visible" r:id="rId13"/>
    <sheet name="Open questions" sheetId="12" state="visible" r:id="rId14"/>
    <sheet name="Decisions" sheetId="13" state="visible" r:id="rId15"/>
    <sheet name="Changelog" sheetId="14" state="visible" r:id="rId16"/>
  </sheets>
  <definedNames>
    <definedName function="false" hidden="true" localSheetId="5" name="_xlnm._FilterDatabase" vbProcedure="false">Abilities!$A$3:$Q$14</definedName>
    <definedName function="false" hidden="true" localSheetId="7" name="_xlnm._FilterDatabase" vbProcedure="false">Bodies!$A$3:$K$9</definedName>
    <definedName function="false" hidden="true" localSheetId="4" name="_xlnm._FilterDatabase" vbProcedure="false">Buildables!$A$3:$P$10</definedName>
    <definedName function="false" hidden="true" localSheetId="13" name="_xlnm._FilterDatabase" vbProcedure="false">Changelog!$A$1:$C$3</definedName>
    <definedName function="false" hidden="true" localSheetId="12" name="_xlnm._FilterDatabase" vbProcedure="false">Decisions!$A$1:$G$22</definedName>
    <definedName function="false" hidden="true" localSheetId="6" name="_xlnm._FilterDatabase" vbProcedure="false">Items!$A$3:$L$9</definedName>
    <definedName function="false" hidden="true" localSheetId="9" name="_xlnm._FilterDatabase" vbProcedure="false">Maps!$A$3:$H$5</definedName>
    <definedName function="false" hidden="true" localSheetId="1" name="_xlnm._FilterDatabase" vbProcedure="false">Mechanics!$A$1:$P$60</definedName>
    <definedName function="false" hidden="true" localSheetId="8" name="_xlnm._FilterDatabase" vbProcedure="false">Modifiers!$A$3:$H$6</definedName>
    <definedName function="false" hidden="true" localSheetId="11" name="_xlnm._FilterDatabase" vbProcedure="false">'Open questions'!$A$1:$H$53</definedName>
    <definedName function="false" hidden="true" localSheetId="2" name="_xlnm._FilterDatabase" vbProcedure="false">Relations!$A$1:$F$95</definedName>
    <definedName function="false" hidden="true" localSheetId="10" name="_xlnm._FilterDatabase" vbProcedure="false">Tunables!$A$3:$H$41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Claude</author>
  </authors>
  <commentList>
    <comment ref="O1" authorId="0">
      <text>
        <r>
          <rPr>
            <sz val="10"/>
            <rFont val="Arial"/>
            <family val="2"/>
          </rPr>
          <t xml:space="preserve">Number of rows on Relations where this mechanic is the 'from' side.</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-106</xdr:colOff>
                <xdr:row>1</xdr:row>
                <xdr:rowOff>8</xdr:rowOff>
              </xdr:to>
            </anchor>
          </commentPr>
        </mc:Choice>
        <mc:Fallback/>
      </mc:AlternateContent>
    </comment>
    <comment ref="P1" authorId="0">
      <text>
        <r>
          <rPr>
            <sz val="10"/>
            <rFont val="Arial"/>
            <family val="2"/>
          </rPr>
          <t xml:space="preserve">Number of rows on Relations where this mechanic is the 'to' side.</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-106</xdr:colOff>
                <xdr:row>1</xdr:row>
                <xdr:rowOff>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Claude</author>
  </authors>
  <commentList>
    <comment ref="Q3" authorId="0">
      <text>
        <r>
          <rPr>
            <sz val="10"/>
            <rFont val="Arial"/>
            <family val="2"/>
          </rPr>
          <t xml:space="preserve">Pillar hp from Tunables (T-027). Power = base power (Tunables) + the shipped weapon's 2 or the circlet's 3. Assumption: no other modifiers.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79</xdr:colOff>
                <xdr:row>1</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Claude</author>
  </authors>
  <commentList>
    <comment ref="C47" authorId="0">
      <text>
        <r>
          <rPr>
            <sz val="10"/>
            <rFont val="Arial"/>
            <family val="2"/>
          </rPr>
          <t xml:space="preserve">Assumes the shipped jerkin (+8 hp, 2 armour), the shipped flintlock (+2 Strength), no modifiers. Edit blue cells above to see it move.</t>
        </r>
      </text>
      <mc:AlternateContent>
        <mc:Choice Requires="v2">
          <commentPr autoFill="true" autoScale="false" colHidden="false" locked="false" rowHidden="false" textHAlign="justify" textVAlign="top">
            <anchor moveWithCells="false" sizeWithCells="false">
              <xdr:from>
                <xdr:col>1</xdr:col>
                <xdr:colOff>20</xdr:colOff>
                <xdr:row>0</xdr:row>
                <xdr:rowOff>14</xdr:rowOff>
              </xdr:from>
              <xdr:to>
                <xdr:col>2</xdr:col>
                <xdr:colOff>-180</xdr:colOff>
                <xdr:row>2</xdr:row>
                <xdr:rowOff>5</xdr:rowOff>
              </xdr:to>
            </anchor>
          </commentPr>
        </mc:Choice>
        <mc:Fallback/>
      </mc:AlternateContent>
    </comment>
  </commentList>
</comments>
</file>

<file path=xl/sharedStrings.xml><?xml version="1.0" encoding="utf-8"?>
<sst xmlns="http://schemas.openxmlformats.org/spreadsheetml/2006/main" count="2777" uniqueCount="1300">
  <si>
    <t xml:space="preserve">Mimas — mechanics workbook</t>
  </si>
  <si>
    <t xml:space="preserve">Source of truth for mechanic detail, relations and numbers. Created 2026-09-21 from the design page and the 21 Sep design session with Rohan.</t>
  </si>
  <si>
    <t xml:space="preserve">What lives where</t>
  </si>
  <si>
    <t xml:space="preserve">docs/design/index.html — the rules in prose, with design and code status per concept. Anchors (#id) are cited here in the 'Design anchor' column.</t>
  </si>
  <si>
    <t xml:space="preserve">This workbook — every mechanic as a row, how mechanics relate, the trigger vocabulary, every tunable number and where it is shipped, open questions and the decision log.</t>
  </si>
  <si>
    <t xml:space="preserve">MimasClient/Assets/_Game/Data/**/*.json — the shipped values. When a number here and a number there disagree, the JSON is what the game does and this sheet is what it should do; fix one or the other.</t>
  </si>
  <si>
    <t xml:space="preserve">studio/pillars.md — outranks all of it.</t>
  </si>
  <si>
    <t xml:space="preserve">How to use</t>
  </si>
  <si>
    <t xml:space="preserve">1. Adding a mechanic: add a row on Mechanics with a new M-id, its family, status and anchor. Add its edges on Relations. Add its numbers on Tunables. Add what it leaves open on Open questions.</t>
  </si>
  <si>
    <t xml:space="preserve">2. Deciding something: change the status on Mechanics, log the decision on Decisions with the date, and answer the row on Open questions.</t>
  </si>
  <si>
    <t xml:space="preserve">3. Changing a number: edit the blue cell on Tunables (or the entity sheet), then change the JSON, then note it in Changelog. The 'Shipped value' column is what the JSON says today; 'Target' is what design wants.</t>
  </si>
  <si>
    <t xml:space="preserve">4. Never rename an M-id or T-id; they are referenced across sheets and from documents.</t>
  </si>
  <si>
    <t xml:space="preserve">Legend</t>
  </si>
  <si>
    <t xml:space="preserve">Blue text = an editable input (a number or a choice). Black = derived or descriptive. Green = a cross-sheet lookup.</t>
  </si>
  <si>
    <t xml:space="preserve">Yellow fill = TBD, a value or answer nobody has given yet. Green fill = new on 21 Sep 2026 (the build / vision / trigger session), not yet on the design page.</t>
  </si>
  <si>
    <t xml:space="preserve">Design status: decided (the rule stands), proposed (written, waiting for Rohan), open (a question, no rule), superseded (kept for history).</t>
  </si>
  <si>
    <t xml:space="preserve">Code status: implemented, partial, not-started, drift (code and design disagree; the design page carries a drift note).</t>
  </si>
  <si>
    <t xml:space="preserve">Sheets</t>
  </si>
  <si>
    <t xml:space="preserve">Mechanics — the registry. One row per mechanic; the spine of the workbook.</t>
  </si>
  <si>
    <t xml:space="preserve">Relations — edge list: which mechanic is made of, reads, constrains, reveals or conflicts with which.</t>
  </si>
  <si>
    <t xml:space="preserve">Triggers — the event / condition / effect vocabulary that traps, structures, modifiers and guaranteed actions share.</t>
  </si>
  <si>
    <t xml:space="preserve">Buildables — the concept catalogue of things a hero can build, common and lineage-unique.</t>
  </si>
  <si>
    <t xml:space="preserve">Abilities, Items, Bodies, Modifiers, Maps — the shipped content, numbers included, with the file each row comes from.</t>
  </si>
  <si>
    <t xml:space="preserve">Tunables — every rule-level number in one place, shipped value beside target value.</t>
  </si>
  <si>
    <t xml:space="preserve">Open questions — everything unanswered, from the design page and from 21 Sep, with an owner.</t>
  </si>
  <si>
    <t xml:space="preserve">Decisions — the log. 21 Sep entries are the answers Rohan gave, verbatim where he wrote text.</t>
  </si>
  <si>
    <t xml:space="preserve">Changelog — what changed in this workbook and when.</t>
  </si>
  <si>
    <t xml:space="preserve">Status at a glance (live counts from Mechanics)</t>
  </si>
  <si>
    <t xml:space="preserve">Design status</t>
  </si>
  <si>
    <t xml:space="preserve">Count</t>
  </si>
  <si>
    <t xml:space="preserve">decided</t>
  </si>
  <si>
    <t xml:space="preserve">proposed</t>
  </si>
  <si>
    <t xml:space="preserve">open</t>
  </si>
  <si>
    <t xml:space="preserve">superseded</t>
  </si>
  <si>
    <t xml:space="preserve">Code status</t>
  </si>
  <si>
    <t xml:space="preserve">implemented</t>
  </si>
  <si>
    <t xml:space="preserve">partial</t>
  </si>
  <si>
    <t xml:space="preserve">not-started</t>
  </si>
  <si>
    <t xml:space="preserve">drift</t>
  </si>
  <si>
    <t xml:space="preserve">Mechanics total</t>
  </si>
  <si>
    <t xml:space="preserve">Open questions still open</t>
  </si>
  <si>
    <t xml:space="preserve">Tunables still TBD</t>
  </si>
  <si>
    <t xml:space="preserve">ID</t>
  </si>
  <si>
    <t xml:space="preserve">Name</t>
  </si>
  <si>
    <t xml:space="preserve">Family</t>
  </si>
  <si>
    <t xml:space="preserve">Pillars served</t>
  </si>
  <si>
    <t xml:space="preserve">Design anchor</t>
  </si>
  <si>
    <t xml:space="preserve">Rule (one paragraph)</t>
  </si>
  <si>
    <t xml:space="preserve">Hidden-info state</t>
  </si>
  <si>
    <t xml:space="preserve">Economy / cost</t>
  </si>
  <si>
    <t xml:space="preserve">Counterplay</t>
  </si>
  <si>
    <t xml:space="preserve">Decided on</t>
  </si>
  <si>
    <t xml:space="preserve">Source</t>
  </si>
  <si>
    <t xml:space="preserve">Notes</t>
  </si>
  <si>
    <t xml:space="preserve">Depends on (count)</t>
  </si>
  <si>
    <t xml:space="preserve">Feeds (count)</t>
  </si>
  <si>
    <t xml:space="preserve">M-001</t>
  </si>
  <si>
    <t xml:space="preserve">Session (best of 3 over the ladder)</t>
  </si>
  <si>
    <t xml:space="preserve">Loop</t>
  </si>
  <si>
    <t xml:space="preserve">1, 4</t>
  </si>
  <si>
    <t xml:space="preserve">#session</t>
  </si>
  <si>
    <t xml:space="preserve">One matchmade encounter: best of 3 rounds on successive ladder maps, a draft between rounds; gear, lineage, boons and reveals carry forward.</t>
  </si>
  <si>
    <t xml:space="preserve">Reveals persist for the session.</t>
  </si>
  <si>
    <t xml:space="preserve">—</t>
  </si>
  <si>
    <t xml:space="preserve">2026-09-16</t>
  </si>
  <si>
    <t xml:space="preserve">design #session</t>
  </si>
  <si>
    <t xml:space="preserve">Code has one round (MatchState) and no series wrapper; M3.</t>
  </si>
  <si>
    <t xml:space="preserve">M-002</t>
  </si>
  <si>
    <t xml:space="preserve">Round</t>
  </si>
  <si>
    <t xml:space="preserve">1</t>
  </si>
  <si>
    <t xml:space="preserve">#round</t>
  </si>
  <si>
    <t xml:space="preserve">One map, alternating turns, until a hero dies. Health, AP, one-round states and (new) every build reset between rounds.</t>
  </si>
  <si>
    <t xml:space="preserve">design #round</t>
  </si>
  <si>
    <t xml:space="preserve">Builds vanish at round end (21 Sep).</t>
  </si>
  <si>
    <t xml:space="preserve">M-003</t>
  </si>
  <si>
    <t xml:space="preserve">Turn and action points</t>
  </si>
  <si>
    <t xml:space="preserve">1, 2</t>
  </si>
  <si>
    <t xml:space="preserve">#turns</t>
  </si>
  <si>
    <t xml:space="preserve">3 AP per turn on the unit; every ability has a flat cost; unspent AP is lost; End Turn or the clock passes.</t>
  </si>
  <si>
    <t xml:space="preserve">AP is the single economy. Building and destroying spend it too (21 Sep).</t>
  </si>
  <si>
    <t xml:space="preserve">2026-09-15</t>
  </si>
  <si>
    <t xml:space="preserve">ADR-015/016/018</t>
  </si>
  <si>
    <t xml:space="preserve">AP lives on the unit so summons could have their own; 21 Sep decided structures do not spend AP of their own (M-076).</t>
  </si>
  <si>
    <t xml:space="preserve">M-004</t>
  </si>
  <si>
    <t xml:space="preserve">Time control and clock</t>
  </si>
  <si>
    <t xml:space="preserve">#time-controls</t>
  </si>
  <si>
    <t xml:space="preserve">One mode at launch: 30 s per turn, server is timekeeper, lag grace capped. Chess-style banks later.</t>
  </si>
  <si>
    <t xml:space="preserve">Guaranteed actions resolve before the clock starts the owner's turn (21 Sep, proposed).</t>
  </si>
  <si>
    <t xml:space="preserve">2026-09-17</t>
  </si>
  <si>
    <t xml:space="preserve">ADR-027</t>
  </si>
  <si>
    <t xml:space="preserve">M-005</t>
  </si>
  <si>
    <t xml:space="preserve">Character select</t>
  </si>
  <si>
    <t xml:space="preserve">2</t>
  </si>
  <si>
    <t xml:space="preserve">#character-select</t>
  </si>
  <si>
    <t xml:space="preserve">Pick four gear items, then a lineage. Simultaneous, private, timed.</t>
  </si>
  <si>
    <t xml:space="preserve">Lineage hidden; gear public.</t>
  </si>
  <si>
    <t xml:space="preserve">design #character-select</t>
  </si>
  <si>
    <t xml:space="preserve">M-006</t>
  </si>
  <si>
    <t xml:space="preserve">Draft between rounds</t>
  </si>
  <si>
    <t xml:space="preserve">4, 7</t>
  </si>
  <si>
    <t xml:space="preserve">#draft</t>
  </si>
  <si>
    <t xml:space="preserve">Three boon offers from the lineage pool, keep one; seeded; private.</t>
  </si>
  <si>
    <t xml:space="preserve">Pick hidden; opponent sees 'picked'.</t>
  </si>
  <si>
    <t xml:space="preserve">design #draft</t>
  </si>
  <si>
    <t xml:space="preserve">M-007</t>
  </si>
  <si>
    <t xml:space="preserve">Win conditions</t>
  </si>
  <si>
    <t xml:space="preserve">#win-conditions</t>
  </si>
  <si>
    <t xml:space="preserve">Round: hero at 0 hp. Session: majority of rounds. Resign, forfeit; simultaneous death: active player loses (proposed).</t>
  </si>
  <si>
    <t xml:space="preserve">design #win-conditions</t>
  </si>
  <si>
    <t xml:space="preserve">Laser ticks and traps make environment damage real; the simultaneous-death rule matters now.</t>
  </si>
  <si>
    <t xml:space="preserve">M-010</t>
  </si>
  <si>
    <t xml:space="preserve">Hex board, terrain, height</t>
  </si>
  <si>
    <t xml:space="preserve">Board</t>
  </si>
  <si>
    <t xml:space="preserve">#board</t>
  </si>
  <si>
    <t xml:space="preserve">Axial hex tiles with terrain, integer height level and optional modifier. Body units: 3 per level, hero body 6, aim 4.</t>
  </si>
  <si>
    <t xml:space="preserve">Public.</t>
  </si>
  <si>
    <t xml:space="preserve">ADR-003/013/023</t>
  </si>
  <si>
    <t xml:space="preserve">M-011</t>
  </si>
  <si>
    <t xml:space="preserve">Line of sight ray</t>
  </si>
  <si>
    <t xml:space="preserve">2, 5</t>
  </si>
  <si>
    <t xml:space="preserve">#line-of-sight</t>
  </si>
  <si>
    <t xml:space="preserve">Straight ray between aim points over heights in body units; bodies block; supercover on grazes; symmetric.</t>
  </si>
  <si>
    <t xml:space="preserve">Public geometry.</t>
  </si>
  <si>
    <t xml:space="preserve">Cover.</t>
  </si>
  <si>
    <t xml:space="preserve">ADR-023</t>
  </si>
  <si>
    <t xml:space="preserve">21 Sep: the aura (M-060) is cut by this same ray, so one sight rule serves attacks, teleports and vision.</t>
  </si>
  <si>
    <t xml:space="preserve">M-012</t>
  </si>
  <si>
    <t xml:space="preserve">Props: walls and pillars</t>
  </si>
  <si>
    <t xml:space="preserve">#props</t>
  </si>
  <si>
    <t xml:space="preserve">Neutral public bodies placed by the map. Anything with health can be hit; a wall cannot. Destroyed props vanish.</t>
  </si>
  <si>
    <t xml:space="preserve">Shoot a pillar down.</t>
  </si>
  <si>
    <t xml:space="preserve">ADR-024</t>
  </si>
  <si>
    <t xml:space="preserve">Structures (M-075) are owned props; the open question q-props-owned is answered by the 21 Sep session.</t>
  </si>
  <si>
    <t xml:space="preserve">M-013</t>
  </si>
  <si>
    <t xml:space="preserve">Maps and the ladder</t>
  </si>
  <si>
    <t xml:space="preserve">3, 14</t>
  </si>
  <si>
    <t xml:space="preserve">#maps</t>
  </si>
  <si>
    <t xml:space="preserve">Symmetric hex lists with two spawns and a ladder position; validated at boot.</t>
  </si>
  <si>
    <t xml:space="preserve">ADR-014</t>
  </si>
  <si>
    <t xml:space="preserve">Which ladder position first allows builds and fog is open (OQ-N06).</t>
  </si>
  <si>
    <t xml:space="preserve">M-014</t>
  </si>
  <si>
    <t xml:space="preserve">Tile effects and pickups</t>
  </si>
  <si>
    <t xml:space="preserve">4</t>
  </si>
  <si>
    <t xml:space="preserve">#tile-effects</t>
  </si>
  <si>
    <t xml:space="preserve">Terrain modifiers exist; pickups and hazards are not designed. OnEnter hook is ready (EnteredTiles).</t>
  </si>
  <si>
    <t xml:space="preserve">Was proposed 'always public'; overturned 21 Sep: traps are hidden board state.</t>
  </si>
  <si>
    <t xml:space="preserve">design #tile-effects</t>
  </si>
  <si>
    <t xml:space="preserve">Traps (M-077) are the first hidden tile effect.</t>
  </si>
  <si>
    <t xml:space="preserve">M-015</t>
  </si>
  <si>
    <t xml:space="preserve">High ground</t>
  </si>
  <si>
    <t xml:space="preserve">+2 flat damage when the attacker's tile is higher than the target's, every trajectory.</t>
  </si>
  <si>
    <t xml:space="preserve">Public global modifier.</t>
  </si>
  <si>
    <t xml:space="preserve">modifiers/high-ground.json</t>
  </si>
  <si>
    <t xml:space="preserve">M-020</t>
  </si>
  <si>
    <t xml:space="preserve">Character = gear + lineage + boons</t>
  </si>
  <si>
    <t xml:space="preserve">Character</t>
  </si>
  <si>
    <t xml:space="preserve">#character</t>
  </si>
  <si>
    <t xml:space="preserve">No classes. Stats, abilities and modifiers are all derived sums.</t>
  </si>
  <si>
    <t xml:space="preserve">design #character</t>
  </si>
  <si>
    <t xml:space="preserve">21 Sep adds three innate actions (M-070) to what every hero has.</t>
  </si>
  <si>
    <t xml:space="preserve">M-021</t>
  </si>
  <si>
    <t xml:space="preserve">Stats</t>
  </si>
  <si>
    <t xml:space="preserve">#stats</t>
  </si>
  <si>
    <t xml:space="preserve">hp, ap, power.weapon, power.spell, defense.weapon, defense.spell. Integers, additive, no negatives on items.</t>
  </si>
  <si>
    <t xml:space="preserve">Public as far as gear explains them.</t>
  </si>
  <si>
    <t xml:space="preserve">ADR-017</t>
  </si>
  <si>
    <t xml:space="preserve">Aura radius is not a stat yet; see OQ-N01.</t>
  </si>
  <si>
    <t xml:space="preserve">M-022</t>
  </si>
  <si>
    <t xml:space="preserve">Gear: four slots</t>
  </si>
  <si>
    <t xml:space="preserve">#equipment</t>
  </si>
  <si>
    <t xml:space="preserve">Weapon, crown, boots, armour. Mandatory, locked for the session. Items are pure additions.</t>
  </si>
  <si>
    <t xml:space="preserve">Identity public; abilities hidden until used.</t>
  </si>
  <si>
    <t xml:space="preserve">design #equipment</t>
  </si>
  <si>
    <t xml:space="preserve">M-023</t>
  </si>
  <si>
    <t xml:space="preserve">Weapon slot</t>
  </si>
  <si>
    <t xml:space="preserve">#weapon</t>
  </si>
  <si>
    <t xml:space="preserve">Two weapon-lane attacks and Strength. Bow: arc, no sight, 1..5. Gun: direct, sight, 1..7. Blade deferred.</t>
  </si>
  <si>
    <t xml:space="preserve">design #weapon</t>
  </si>
  <si>
    <t xml:space="preserve">M-024</t>
  </si>
  <si>
    <t xml:space="preserve">Crown slot</t>
  </si>
  <si>
    <t xml:space="preserve">#crown</t>
  </si>
  <si>
    <t xml:space="preserve">Two spell-lane attacks and Magic; may carry an element.</t>
  </si>
  <si>
    <t xml:space="preserve">design #crown</t>
  </si>
  <si>
    <t xml:space="preserve">Whether a spell needs vision is per spell (M-063).</t>
  </si>
  <si>
    <t xml:space="preserve">M-025</t>
  </si>
  <si>
    <t xml:space="preserve">Boots slot</t>
  </si>
  <si>
    <t xml:space="preserve">12</t>
  </si>
  <si>
    <t xml:space="preserve">#boots</t>
  </si>
  <si>
    <t xml:space="preserve">One extra movement mode (jump, teleport; later fly, dash); walk is innate.</t>
  </si>
  <si>
    <t xml:space="preserve">design #boots</t>
  </si>
  <si>
    <t xml:space="preserve">M-026</t>
  </si>
  <si>
    <t xml:space="preserve">Armour slot</t>
  </si>
  <si>
    <t xml:space="preserve">#armour</t>
  </si>
  <si>
    <t xml:space="preserve">Flat subtractive defence per lane; main source of Health. No ablative pool.</t>
  </si>
  <si>
    <t xml:space="preserve">design #armour</t>
  </si>
  <si>
    <t xml:space="preserve">M-030</t>
  </si>
  <si>
    <t xml:space="preserve">Abilities</t>
  </si>
  <si>
    <t xml:space="preserve">Combat</t>
  </si>
  <si>
    <t xml:space="preserve">#abilities</t>
  </si>
  <si>
    <t xml:space="preserve">Anything a unit spends AP on: movement or attack (21 Sep adds build and destroy as innate). Flat cost, HUD category, from gear or sigils.</t>
  </si>
  <si>
    <t xml:space="preserve">Hidden until first use.</t>
  </si>
  <si>
    <t xml:space="preserve">ADR-012/016</t>
  </si>
  <si>
    <t xml:space="preserve">Enchant overrides do not exist in code.</t>
  </si>
  <si>
    <t xml:space="preserve">M-031</t>
  </si>
  <si>
    <t xml:space="preserve">Movement kinds</t>
  </si>
  <si>
    <t xml:space="preserve">#movement</t>
  </si>
  <si>
    <t xml:space="preserve">Walk (path, cost, climb), jump (line, arc clearance), teleport (point, sight), fly (walk with ignoreHeight). Path vs EnteredTiles.</t>
  </si>
  <si>
    <t xml:space="preserve">ADR-012</t>
  </si>
  <si>
    <t xml:space="preserve">Laser crossing (M-079) needs Path, not EnteredTiles; see OQ-N03.</t>
  </si>
  <si>
    <t xml:space="preserve">M-032</t>
  </si>
  <si>
    <t xml:space="preserve">Attacks and range band</t>
  </si>
  <si>
    <t xml:space="preserve">#attacks</t>
  </si>
  <si>
    <t xml:space="preserve">Target one damageable body inside a Euclidean minRange..range circle; lane, base damage, element, tags. Ground targeting refused today.</t>
  </si>
  <si>
    <t xml:space="preserve">ADR-017/023</t>
  </si>
  <si>
    <t xml:space="preserve">21 Sep: blind shots (M-064) make tile targeting legal when the tile is out of vision.</t>
  </si>
  <si>
    <t xml:space="preserve">M-033</t>
  </si>
  <si>
    <t xml:space="preserve">Trajectories</t>
  </si>
  <si>
    <t xml:space="preserve">#trajectories</t>
  </si>
  <si>
    <t xml:space="preserve">direct (the sight ray), arc (integer parabola with apex), sky (nothing blocks). Independent of lineOfSight.</t>
  </si>
  <si>
    <t xml:space="preserve">M-034</t>
  </si>
  <si>
    <t xml:space="preserve">Damage formula</t>
  </si>
  <si>
    <t xml:space="preserve">#damage</t>
  </si>
  <si>
    <t xml:space="preserve">max(0, base + power.lane − defense.lane + Σ flat modifiers); preview and actual are one function; hidden lines show as '?'.</t>
  </si>
  <si>
    <t xml:space="preserve">Hidden modifiers revealed when they change a result.</t>
  </si>
  <si>
    <t xml:space="preserve">nullify not in code.</t>
  </si>
  <si>
    <t xml:space="preserve">M-035</t>
  </si>
  <si>
    <t xml:space="preserve">Elements</t>
  </si>
  <si>
    <t xml:space="preserve">#elements</t>
  </si>
  <si>
    <t xml:space="preserve">A modifier class tag on an attack (fire, frost, …) matched by riders, resistances, immunities. Not a lane.</t>
  </si>
  <si>
    <t xml:space="preserve">design #elements</t>
  </si>
  <si>
    <t xml:space="preserve">M-036</t>
  </si>
  <si>
    <t xml:space="preserve">Modifiers</t>
  </si>
  <si>
    <t xml:space="preserve">#modifiers</t>
  </si>
  <si>
    <t xml:space="preserve">One trigger (dealDamage / takeDamage), a conjunction of conditions, one flat effect. Owned by unit, terrain, hex or rules.</t>
  </si>
  <si>
    <t xml:space="preserve">public or hidden until it changes a result.</t>
  </si>
  <si>
    <t xml:space="preserve">The trigger vocabulary (M-091) generalises this.</t>
  </si>
  <si>
    <t xml:space="preserve">M-040</t>
  </si>
  <si>
    <t xml:space="preserve">Divine lineage</t>
  </si>
  <si>
    <t xml:space="preserve">Divine</t>
  </si>
  <si>
    <t xml:space="preserve">2, 8</t>
  </si>
  <si>
    <t xml:space="preserve">#lineage</t>
  </si>
  <si>
    <t xml:space="preserve">Greek / Norse / Hindu: a starting Blessing and the draft pool. Hidden until a boon of it is revealed.</t>
  </si>
  <si>
    <t xml:space="preserve">Hidden.</t>
  </si>
  <si>
    <t xml:space="preserve">design #lineage</t>
  </si>
  <si>
    <t xml:space="preserve">21 Sep: each lineage also has unique buildables (M-073); a seen lineage build reveals the lineage (M-083).</t>
  </si>
  <si>
    <t xml:space="preserve">M-041</t>
  </si>
  <si>
    <t xml:space="preserve">Boons (umbrella)</t>
  </si>
  <si>
    <t xml:space="preserve">4, 7, 8</t>
  </si>
  <si>
    <t xml:space="preserve">#boons</t>
  </si>
  <si>
    <t xml:space="preserve">Blessing (passive on character), Enchant (change an item), Sigil (new ability on an item). Drafted, session-long, hidden until observed.</t>
  </si>
  <si>
    <t xml:space="preserve">Hidden until observed.</t>
  </si>
  <si>
    <t xml:space="preserve">design #boons</t>
  </si>
  <si>
    <t xml:space="preserve">21 Sep: Enchants and Sigils may also target a buildable (M-082).</t>
  </si>
  <si>
    <t xml:space="preserve">M-042</t>
  </si>
  <si>
    <t xml:space="preserve">Blessing</t>
  </si>
  <si>
    <t xml:space="preserve">8</t>
  </si>
  <si>
    <t xml:space="preserve">#blessing</t>
  </si>
  <si>
    <t xml:space="preserve">Passive on the character: stat, modifier, AP.</t>
  </si>
  <si>
    <t xml:space="preserve">Hidden until it changes a result.</t>
  </si>
  <si>
    <t xml:space="preserve">design #blessing</t>
  </si>
  <si>
    <t xml:space="preserve">May change aura radius (M-060).</t>
  </si>
  <si>
    <t xml:space="preserve">M-043</t>
  </si>
  <si>
    <t xml:space="preserve">Enchant</t>
  </si>
  <si>
    <t xml:space="preserve">#enchant</t>
  </si>
  <si>
    <t xml:space="preserve">Changes one equipped item's numbers, adds an element or a modifier.</t>
  </si>
  <si>
    <t xml:space="preserve">Revealed when an altered number is observed.</t>
  </si>
  <si>
    <t xml:space="preserve">design #enchant</t>
  </si>
  <si>
    <t xml:space="preserve">M-044</t>
  </si>
  <si>
    <t xml:space="preserve">Sigil</t>
  </si>
  <si>
    <t xml:space="preserve">#sigil</t>
  </si>
  <si>
    <t xml:space="preserve">Adds a new active ability to one equipped item.</t>
  </si>
  <si>
    <t xml:space="preserve">Revealed on first use.</t>
  </si>
  <si>
    <t xml:space="preserve">design #sigil</t>
  </si>
  <si>
    <t xml:space="preserve">M-050</t>
  </si>
  <si>
    <t xml:space="preserve">Hidden information and reveal</t>
  </si>
  <si>
    <t xml:space="preserve">Information</t>
  </si>
  <si>
    <t xml:space="preserve">3</t>
  </si>
  <si>
    <t xml:space="preserve">#hidden-info</t>
  </si>
  <si>
    <t xml:space="preserve">Server holds truth; clients get a PlayerView. Gear, stats, health, position public; abilities, lineage, boons hidden until used; revealed sets persist per session.</t>
  </si>
  <si>
    <t xml:space="preserve">The rule itself.</t>
  </si>
  <si>
    <t xml:space="preserve">ADR-010/017/018/026</t>
  </si>
  <si>
    <t xml:space="preserve">21 Sep: position is no longer always public (fog, M-061); anything that attacks is revealed (M-065).</t>
  </si>
  <si>
    <t xml:space="preserve">M-051</t>
  </si>
  <si>
    <t xml:space="preserve">Determinism and replays</t>
  </si>
  <si>
    <t xml:space="preserve">#determinism</t>
  </si>
  <si>
    <t xml:space="preserve">Same seed + same commands = same state. No floats, no clock in the log.</t>
  </si>
  <si>
    <t xml:space="preserve">Firing order (M-092) must be a pure function of state.</t>
  </si>
  <si>
    <t xml:space="preserve">M-052</t>
  </si>
  <si>
    <t xml:space="preserve">Client mirror (PlayerView)</t>
  </si>
  <si>
    <t xml:space="preserve">3, 5</t>
  </si>
  <si>
    <t xml:space="preserve">The client's MatchState is rebuilt from its PlayerView; it answers previews and refuses illegal commands with the viewer's knowledge only.</t>
  </si>
  <si>
    <t xml:space="preserve">ADR-026</t>
  </si>
  <si>
    <t xml:space="preserve">Fog means the PlayerView omits unseen enemy position and unseen builds.</t>
  </si>
  <si>
    <t xml:space="preserve">M-053</t>
  </si>
  <si>
    <t xml:space="preserve">Bots</t>
  </si>
  <si>
    <t xml:space="preserve">Meta</t>
  </si>
  <si>
    <t xml:space="preserve">#bots</t>
  </si>
  <si>
    <t xml:space="preserve">RandomBot over legal commands; a greedy bot next. Server-side bot seat.</t>
  </si>
  <si>
    <t xml:space="preserve">design #bots</t>
  </si>
  <si>
    <t xml:space="preserve">Bots must build, destroy and cope with fog once those exist (OQ-N10).</t>
  </si>
  <si>
    <t xml:space="preserve">M-060</t>
  </si>
  <si>
    <t xml:space="preserve">Aura (area of influence)</t>
  </si>
  <si>
    <t xml:space="preserve">Vision</t>
  </si>
  <si>
    <t xml:space="preserve">2, 3</t>
  </si>
  <si>
    <t xml:space="preserve">(new) #aura</t>
  </si>
  <si>
    <t xml:space="preserve">A circle of tiles around the hero (Euclidean radius like attack ranges), cut by the sight ray from the hero's aim point. The hero's vision equals its aura. Innate actions (build, destroy) reach only inside it. Blessings and similar can change the radius. Strictly hero-based: builds never extend the aura, only vision.</t>
  </si>
  <si>
    <t xml:space="preserve">The aura is public geometry once the hero is seen.</t>
  </si>
  <si>
    <t xml:space="preserve">No AP; a property.</t>
  </si>
  <si>
    <t xml:space="preserve">Break the ray with bodies; stay outside it.</t>
  </si>
  <si>
    <t xml:space="preserve">2026-09-21</t>
  </si>
  <si>
    <t xml:space="preserve">Rohan, 21 Sep round 1 and 2</t>
  </si>
  <si>
    <t xml:space="preserve">Radius base value TBD (T-060).</t>
  </si>
  <si>
    <t xml:space="preserve">M-061</t>
  </si>
  <si>
    <t xml:space="preserve">Fog of war</t>
  </si>
  <si>
    <t xml:space="preserve">(new) #fog</t>
  </si>
  <si>
    <t xml:space="preserve">A player sees only the tiles inside their vision: the hero's aura plus the vision of every build they own. The enemy hero, enemy builds and anything on unseen tiles are absent from the PlayerView. The map itself (terrain, height, neutral props) stays known.</t>
  </si>
  <si>
    <t xml:space="preserve">Position becomes hidden information.</t>
  </si>
  <si>
    <t xml:space="preserve">Builds as scouts; attack reveal.</t>
  </si>
  <si>
    <t xml:space="preserve">Rohan, 21 Sep round 1</t>
  </si>
  <si>
    <t xml:space="preserve">Overrides 'hidden information lives on characters, not the board'. Ghost / last-known position not decided (OQ-N02). Research warned: fog + a 30 s clock is the main frustration risk; playtest it.</t>
  </si>
  <si>
    <t xml:space="preserve">M-062</t>
  </si>
  <si>
    <t xml:space="preserve">Build vision</t>
  </si>
  <si>
    <t xml:space="preserve">Every build grants its owner vision in a per-kind radius, same shape rule as the aura (circle cut by the sight ray from the build's aim point). Builds are the scouting layer a one-hero game otherwise lacks.</t>
  </si>
  <si>
    <t xml:space="preserve">Public once the build is seen.</t>
  </si>
  <si>
    <t xml:space="preserve">Part of the build's cost.</t>
  </si>
  <si>
    <t xml:space="preserve">Destroy the build.</t>
  </si>
  <si>
    <t xml:space="preserve">M-063</t>
  </si>
  <si>
    <t xml:space="preserve">needsVision attack flag</t>
  </si>
  <si>
    <t xml:space="preserve">(new) #attacks</t>
  </si>
  <si>
    <t xml:space="preserve">A third required attack field beside lineOfSight and trajectory. false: the attack may target any tile in its range band, seen or not (weapon attacks by default). true: the target tile must be in the attacker's vision (per spell by data). Weapon attacks carry the flag too for future use.</t>
  </si>
  <si>
    <t xml:space="preserve">Rohan, 21 Sep round 2</t>
  </si>
  <si>
    <t xml:space="preserve">Content rule: every attack must declare it, like the other two.</t>
  </si>
  <si>
    <t xml:space="preserve">M-064</t>
  </si>
  <si>
    <t xml:space="preserve">Blind shot</t>
  </si>
  <si>
    <t xml:space="preserve">An attack with needsVision=false may target a tile outside vision. If a body with health stands there it takes the hit (sight ray and trajectory still apply); otherwise the AP is spent for nothing. A blind shot on a trapped tile destroys or triggers the trap (M-081).</t>
  </si>
  <si>
    <t xml:space="preserve">The shooter is revealed (M-065).</t>
  </si>
  <si>
    <t xml:space="preserve">Costs the attack's AP; misses waste it.</t>
  </si>
  <si>
    <t xml:space="preserve">Do not stand where you were last seen.</t>
  </si>
  <si>
    <t xml:space="preserve">Rohan, 21 Sep round 2 and 4</t>
  </si>
  <si>
    <t xml:space="preserve">Whether a miss tells the shooter anything (a 'nothing there' message) is OQ-N04.</t>
  </si>
  <si>
    <t xml:space="preserve">M-065</t>
  </si>
  <si>
    <t xml:space="preserve">Attack reveal</t>
  </si>
  <si>
    <t xml:space="preserve">(new) #hidden-info</t>
  </si>
  <si>
    <t xml:space="preserve">Whenever anything performs an attacking action (a hero attack, a structure's guaranteed action or directed action, a trap or laser firing), the attacker and its tile are revealed to the enemy until the start of the attacker's next turn.</t>
  </si>
  <si>
    <t xml:space="preserve">Fog protects only the silent.</t>
  </si>
  <si>
    <t xml:space="preserve">Applies to structures: a laser that ticks reveals itself.</t>
  </si>
  <si>
    <t xml:space="preserve">M-070</t>
  </si>
  <si>
    <t xml:space="preserve">Innate actions: move, build, destroy</t>
  </si>
  <si>
    <t xml:space="preserve">Build</t>
  </si>
  <si>
    <t xml:space="preserve">(new) #innate</t>
  </si>
  <si>
    <t xml:space="preserve">Every hero has three innate actions, each with a range: move (walk, range 1), build (a tile inside the aura), destroy (one of your own builds inside the aura). Gear and boons never remove them.</t>
  </si>
  <si>
    <t xml:space="preserve">Innate actions are public; what you build may not be.</t>
  </si>
  <si>
    <t xml:space="preserve">AP per use.</t>
  </si>
  <si>
    <t xml:space="preserve">Build and destroy are a third ability type beside movement and attack.</t>
  </si>
  <si>
    <t xml:space="preserve">M-071</t>
  </si>
  <si>
    <t xml:space="preserve">(new) #build</t>
  </si>
  <si>
    <t xml:space="preserve">Choose a buildable from your catalogue and a target tile that is inside your aura, walkable, and empty of bodies (traps go under an empty tile too). Directional builds choose one of six hex directions at build time. Costs the buildable's AP. Building is not an attacking action, so it does not reveal you; being watched does.</t>
  </si>
  <si>
    <t xml:space="preserve">A build made inside enemy vision is seen at once (structure fully, trap as marker).</t>
  </si>
  <si>
    <t xml:space="preserve">Flat AP per buildable (T-071).</t>
  </si>
  <si>
    <t xml:space="preserve">Watch, then destroy or avoid.</t>
  </si>
  <si>
    <t xml:space="preserve">Rohan, 21 Sep rounds 1-4</t>
  </si>
  <si>
    <t xml:space="preserve">Can a trap share a tile with a structure? OQ-N05.</t>
  </si>
  <si>
    <t xml:space="preserve">M-072</t>
  </si>
  <si>
    <t xml:space="preserve">Destroy</t>
  </si>
  <si>
    <t xml:space="preserve">Remove one of your own builds that is inside your aura, freeing its cap slot and its tile. Flat AP cost. Never targets enemy builds.</t>
  </si>
  <si>
    <t xml:space="preserve">Flat AP (T-072).</t>
  </si>
  <si>
    <t xml:space="preserve">Rohan, 21 Sep round 5</t>
  </si>
  <si>
    <t xml:space="preserve">No refund, no detonation.</t>
  </si>
  <si>
    <t xml:space="preserve">M-073</t>
  </si>
  <si>
    <t xml:space="preserve">Buildable catalogue</t>
  </si>
  <si>
    <t xml:space="preserve">(new) #buildables</t>
  </si>
  <si>
    <t xml:space="preserve">Common buildables every hero has, plus buildables unique to the lineage. Base buildables are public knowledge for both players. Upgrades to them (from boons) are hidden until observed.</t>
  </si>
  <si>
    <t xml:space="preserve">Base public; upgrades hidden.</t>
  </si>
  <si>
    <t xml:space="preserve">See Buildables sheet. Names and numbers TBD.</t>
  </si>
  <si>
    <t xml:space="preserve">M-074</t>
  </si>
  <si>
    <t xml:space="preserve">Build cap per kind</t>
  </si>
  <si>
    <t xml:space="preserve">Each buildable kind has a maximum number on the board at once per owner. At the cap, Build is refused with a reason; Destroy frees a slot.</t>
  </si>
  <si>
    <t xml:space="preserve">Cap values TBD (T-074).</t>
  </si>
  <si>
    <t xml:space="preserve">Rohan, 21 Sep round 4</t>
  </si>
  <si>
    <t xml:space="preserve">M-075</t>
  </si>
  <si>
    <t xml:space="preserve">Structure (owned body)</t>
  </si>
  <si>
    <t xml:space="preserve">(new) #structures</t>
  </si>
  <si>
    <t xml:space="preserve">A build that occupies its tile as a body: has an owner, hp, per-kind body height and aim height, blocks movement and (if tall) sight like a prop. Anything with health can be hit. Vanishes at round end. Once seen, its identity, direction and health are public for good.</t>
  </si>
  <si>
    <t xml:space="preserve">Full reveal once seen.</t>
  </si>
  <si>
    <t xml:space="preserve">hp, height, vision per kind.</t>
  </si>
  <si>
    <t xml:space="preserve">Shoot it, block its line, step out of its zone.</t>
  </si>
  <si>
    <t xml:space="preserve">Answers design open question q-props-owned.</t>
  </si>
  <si>
    <t xml:space="preserve">M-076</t>
  </si>
  <si>
    <t xml:space="preserve">Structure control</t>
  </si>
  <si>
    <t xml:space="preserve">Per kind, by data: autonomous (acts only through guaranteed actions at the owner's turn start) or hero-directed (its action appears on the hero's bar and costs hero AP, usable only while the structure is inside the hero's aura). Structures never have AP of their own.</t>
  </si>
  <si>
    <t xml:space="preserve">A directed action is hidden until used, like any ability.</t>
  </si>
  <si>
    <t xml:space="preserve">Directed: hero AP.</t>
  </si>
  <si>
    <t xml:space="preserve">Rohan, 21 Sep round 1 and 5</t>
  </si>
  <si>
    <t xml:space="preserve">M-077</t>
  </si>
  <si>
    <t xml:space="preserve">Trap</t>
  </si>
  <si>
    <t xml:space="preserve">(new) #traps</t>
  </si>
  <si>
    <t xml:space="preserve">A build that sits under a tile, is not a body (does not occupy or block). Trigger: any body enters the tile, the owner included; it cannot be walked through by anyone. No dud or feint builds exist. Fires its effect, is revealed fully, and (proposed) is consumed.</t>
  </si>
  <si>
    <t xml:space="preserve">See M-078.</t>
  </si>
  <si>
    <t xml:space="preserve">Build AP.</t>
  </si>
  <si>
    <t xml:space="preserve">Blind-shot the tile; scout it; go around.</t>
  </si>
  <si>
    <t xml:space="preserve">Rohan, 21 Sep round 3</t>
  </si>
  <si>
    <t xml:space="preserve">Single-use vs persistent is OQ-N07. Symmetric: the research flagged self-damage as a feel-bad; watch in playtest.</t>
  </si>
  <si>
    <t xml:space="preserve">M-078</t>
  </si>
  <si>
    <t xml:space="preserve">Trap visibility rule</t>
  </si>
  <si>
    <t xml:space="preserve">If the enemy had vision of the tile at the moment of placement, the tile carries a marker ('something is set here') from then on; content stays hidden. If the tile was unseen at placement, the trap is fully invisible even when the tile is later seen by the hero's aura. A scout build's vision shows traps as markers. Firing reveals the trap fully.</t>
  </si>
  <si>
    <t xml:space="preserve">Marker or nothing, by placement circumstances.</t>
  </si>
  <si>
    <t xml:space="preserve">Scout build (M-080).</t>
  </si>
  <si>
    <t xml:space="preserve">Rohan, 21 Sep rounds 1, 2, 5</t>
  </si>
  <si>
    <t xml:space="preserve">Rohan chose NOT to let the aura alone reveal traps; only the scout does.</t>
  </si>
  <si>
    <t xml:space="preserve">M-079</t>
  </si>
  <si>
    <t xml:space="preserve">Laser sight</t>
  </si>
  <si>
    <t xml:space="preserve">(new) #laser</t>
  </si>
  <si>
    <t xml:space="preserve">A common directional structure. It projects a beam in the direction chosen at build, along a straight hex line, stopping at the first body it meets (that body is hit; everything behind is shielded). The beam is a zone: a body that enters or crosses a beam tile during a move takes the beam's damage then; a body standing on the beam at the owner's turn start takes it as a guaranteed action. The line is drawn on the tiles for anyone who can see the laser.</t>
  </si>
  <si>
    <t xml:space="preserve">Structure rules: fully public once seen; the beam is visible where the tiles are.</t>
  </si>
  <si>
    <t xml:space="preserve">Build AP; damage per hit TBD (T-079).</t>
  </si>
  <si>
    <t xml:space="preserve">Put a body in the way; destroy it; go around.</t>
  </si>
  <si>
    <t xml:space="preserve">Rohan, 21 Sep rounds 1, 3, 4</t>
  </si>
  <si>
    <t xml:space="preserve">Symmetric: the beam hurts any body, the builder included (OQ-N08, answered 21 Sep). Jump/teleport crossing: OQ-N03.</t>
  </si>
  <si>
    <t xml:space="preserve">M-080</t>
  </si>
  <si>
    <t xml:space="preserve">Scout build</t>
  </si>
  <si>
    <t xml:space="preserve">A common structure whose only job is vision. Traps inside its vision show as markers. The intended counter to hidden traps, with blind shots.</t>
  </si>
  <si>
    <t xml:space="preserve">Public once seen.</t>
  </si>
  <si>
    <t xml:space="preserve">Destroy it.</t>
  </si>
  <si>
    <t xml:space="preserve">M-081</t>
  </si>
  <si>
    <t xml:space="preserve">Blind shot clears a trap</t>
  </si>
  <si>
    <t xml:space="preserve">A blind attack (M-064) on a tile that holds a trap destroys or triggers the trap. Ranged heroes can clear a lane for AP.</t>
  </si>
  <si>
    <t xml:space="preserve">Reveals the trap and the shooter.</t>
  </si>
  <si>
    <t xml:space="preserve">The attack's AP.</t>
  </si>
  <si>
    <t xml:space="preserve">Destroy vs trigger is OQ-N09.</t>
  </si>
  <si>
    <t xml:space="preserve">M-082</t>
  </si>
  <si>
    <t xml:space="preserve">Boons on buildables</t>
  </si>
  <si>
    <t xml:space="preserve">(new) #boons</t>
  </si>
  <si>
    <t xml:space="preserve">An Enchant may target a buildable kind and change its numbers (hp, vision, damage, cap, cost). A Sigil may add an action to a structure kind or unlock a new buildable. Hidden until the changed number or new action is observed, the same reveal rule as gear.</t>
  </si>
  <si>
    <t xml:space="preserve">Adds a 'buildable' target to the boon requires/effects vocabulary.</t>
  </si>
  <si>
    <t xml:space="preserve">M-083</t>
  </si>
  <si>
    <t xml:space="preserve">Lineage build reveals the lineage</t>
  </si>
  <si>
    <t xml:space="preserve">(new) #lineage</t>
  </si>
  <si>
    <t xml:space="preserve">A lineage-unique buildable, once seen by the enemy, reveals the lineage (its name shows its god), like any lineage boon.</t>
  </si>
  <si>
    <t xml:space="preserve">Reveal.</t>
  </si>
  <si>
    <t xml:space="preserve">derived from #lineage rule 3</t>
  </si>
  <si>
    <t xml:space="preserve">Derived, not asked. Confirm.</t>
  </si>
  <si>
    <t xml:space="preserve">M-090</t>
  </si>
  <si>
    <t xml:space="preserve">Guaranteed action</t>
  </si>
  <si>
    <t xml:space="preserve">Trigger</t>
  </si>
  <si>
    <t xml:space="preserve">(new) #guaranteed</t>
  </si>
  <si>
    <t xml:space="preserve">An action that fires automatically at the start of its owner's turn, before the owner's AP is granted and before the clock starts. Every autonomous structure's action is one. The opponent always has one full turn to react (kill, block, step out).</t>
  </si>
  <si>
    <t xml:space="preserve">Firing is an attacking action: reveals the actor (M-065).</t>
  </si>
  <si>
    <t xml:space="preserve">0 AP at fire time.</t>
  </si>
  <si>
    <t xml:space="preserve">One turn of warning.</t>
  </si>
  <si>
    <t xml:space="preserve">Into the Breach model.</t>
  </si>
  <si>
    <t xml:space="preserve">M-091</t>
  </si>
  <si>
    <t xml:space="preserve">Trigger vocabulary</t>
  </si>
  <si>
    <t xml:space="preserve">(new) #triggers</t>
  </si>
  <si>
    <t xml:space="preserve">One closed list of events, conditions and effects shared by modifiers, traps, structures and guaranteed actions. See the Triggers sheet. New entries are design decisions, each one handler in Core.</t>
  </si>
  <si>
    <t xml:space="preserve">this session</t>
  </si>
  <si>
    <t xml:space="preserve">Generalises the modifier trigger (dealDamage / takeDamage).</t>
  </si>
  <si>
    <t xml:space="preserve">M-092</t>
  </si>
  <si>
    <t xml:space="preserve">Firing order</t>
  </si>
  <si>
    <t xml:space="preserve">When several guaranteed actions fire at one turn start, they fire in placement order (build sequence), each fully resolved before the next reads the board. The order is shown as numbers on the board. Deterministic; the opponent can change it only by destroying things.</t>
  </si>
  <si>
    <t xml:space="preserve">From ID</t>
  </si>
  <si>
    <t xml:space="preserve">From name</t>
  </si>
  <si>
    <t xml:space="preserve">Relation</t>
  </si>
  <si>
    <t xml:space="preserve">To ID</t>
  </si>
  <si>
    <t xml:space="preserve">To name</t>
  </si>
  <si>
    <t xml:space="preserve">Note</t>
  </si>
  <si>
    <t xml:space="preserve">is made of</t>
  </si>
  <si>
    <t xml:space="preserve">best of 3 rounds</t>
  </si>
  <si>
    <t xml:space="preserve">a draft between rounds</t>
  </si>
  <si>
    <t xml:space="preserve">reads</t>
  </si>
  <si>
    <t xml:space="preserve">rounds follow ladder positions</t>
  </si>
  <si>
    <t xml:space="preserve">alternating turns</t>
  </si>
  <si>
    <t xml:space="preserve">constrains</t>
  </si>
  <si>
    <t xml:space="preserve">every build vanishes at round end</t>
  </si>
  <si>
    <t xml:space="preserve">every trap vanishes at round end</t>
  </si>
  <si>
    <t xml:space="preserve">build spends the hero's AP</t>
  </si>
  <si>
    <t xml:space="preserve">destroy spends the hero's AP</t>
  </si>
  <si>
    <t xml:space="preserve">directed structure actions spend hero AP; structures have none</t>
  </si>
  <si>
    <t xml:space="preserve">guaranteed actions resolve before the turn clock starts</t>
  </si>
  <si>
    <t xml:space="preserve">laser ticks are environment damage; simultaneous-death rule applies</t>
  </si>
  <si>
    <t xml:space="preserve">trap damage is environment damage</t>
  </si>
  <si>
    <t xml:space="preserve">heights in body units</t>
  </si>
  <si>
    <t xml:space="preserve">the aura is cut by the sight ray</t>
  </si>
  <si>
    <t xml:space="preserve">build vision is cut by the sight ray</t>
  </si>
  <si>
    <t xml:space="preserve">direct trajectory is the ray</t>
  </si>
  <si>
    <t xml:space="preserve">extends</t>
  </si>
  <si>
    <t xml:space="preserve">a structure is an owned prop</t>
  </si>
  <si>
    <t xml:space="preserve">map validation: no builds on spawns? (OQ-N06)</t>
  </si>
  <si>
    <t xml:space="preserve">a trap is the first hidden tile effect</t>
  </si>
  <si>
    <t xml:space="preserve">gear</t>
  </si>
  <si>
    <t xml:space="preserve">lineage</t>
  </si>
  <si>
    <t xml:space="preserve">boons</t>
  </si>
  <si>
    <t xml:space="preserve">three innate actions</t>
  </si>
  <si>
    <t xml:space="preserve">aura radius is a hero property, possibly a stat (OQ-N01)</t>
  </si>
  <si>
    <t xml:space="preserve">produces</t>
  </si>
  <si>
    <t xml:space="preserve">items grant abilities</t>
  </si>
  <si>
    <t xml:space="preserve">movement type</t>
  </si>
  <si>
    <t xml:space="preserve">attack type</t>
  </si>
  <si>
    <t xml:space="preserve">build type (innate)</t>
  </si>
  <si>
    <t xml:space="preserve">destroy type (innate)</t>
  </si>
  <si>
    <t xml:space="preserve">crossing a beam during a move takes damage (Path vs EnteredTiles, OQ-N03)</t>
  </si>
  <si>
    <t xml:space="preserve">entering a trapped tile fires the trap (EnteredTiles)</t>
  </si>
  <si>
    <t xml:space="preserve">trajectory must pass</t>
  </si>
  <si>
    <t xml:space="preserve">lineOfSight must pass</t>
  </si>
  <si>
    <t xml:space="preserve">needsVision must pass</t>
  </si>
  <si>
    <t xml:space="preserve">damage</t>
  </si>
  <si>
    <t xml:space="preserve">tile targeting when the tile is unseen</t>
  </si>
  <si>
    <t xml:space="preserve">anything with health can be hit: structures are targets</t>
  </si>
  <si>
    <t xml:space="preserve">modifier lines</t>
  </si>
  <si>
    <t xml:space="preserve">high ground line</t>
  </si>
  <si>
    <t xml:space="preserve">riders, resistances, immunities are modifiers</t>
  </si>
  <si>
    <t xml:space="preserve">the trigger vocabulary generalises modifier triggers</t>
  </si>
  <si>
    <t xml:space="preserve">lineage-unique buildables</t>
  </si>
  <si>
    <t xml:space="preserve">the draft pool</t>
  </si>
  <si>
    <t xml:space="preserve">boons may target buildables</t>
  </si>
  <si>
    <t xml:space="preserve">a Blessing may change the aura radius</t>
  </si>
  <si>
    <t xml:space="preserve">fog is hidden information: the PlayerView omits unseen tiles' contents</t>
  </si>
  <si>
    <t xml:space="preserve">trap markers are a reveal state</t>
  </si>
  <si>
    <t xml:space="preserve">attack reveal is a new reveal rule</t>
  </si>
  <si>
    <t xml:space="preserve">firing order is a pure function of state</t>
  </si>
  <si>
    <t xml:space="preserve">the mirror only ever holds seen tiles' contents</t>
  </si>
  <si>
    <t xml:space="preserve">bots must act under fog</t>
  </si>
  <si>
    <t xml:space="preserve">bots must build</t>
  </si>
  <si>
    <t xml:space="preserve">the hero's vision is its aura</t>
  </si>
  <si>
    <t xml:space="preserve">build target must be inside the aura</t>
  </si>
  <si>
    <t xml:space="preserve">destroy target must be inside the aura</t>
  </si>
  <si>
    <t xml:space="preserve">directed structure actions need the structure inside the aura</t>
  </si>
  <si>
    <t xml:space="preserve">overrides</t>
  </si>
  <si>
    <t xml:space="preserve">the 'tile effects are always public' proposal</t>
  </si>
  <si>
    <t xml:space="preserve">'position is public' in the hidden-info table</t>
  </si>
  <si>
    <t xml:space="preserve">builds add vision</t>
  </si>
  <si>
    <t xml:space="preserve">only needsVision=false attacks can be blind</t>
  </si>
  <si>
    <t xml:space="preserve">a blind shot reveals the shooter</t>
  </si>
  <si>
    <t xml:space="preserve">a blind shot on a trapped tile clears it</t>
  </si>
  <si>
    <t xml:space="preserve">a guaranteed action that attacks reveals its structure</t>
  </si>
  <si>
    <t xml:space="preserve">build</t>
  </si>
  <si>
    <t xml:space="preserve">destroy</t>
  </si>
  <si>
    <t xml:space="preserve">move (walk)</t>
  </si>
  <si>
    <t xml:space="preserve">what can be built</t>
  </si>
  <si>
    <t xml:space="preserve">refused at the cap</t>
  </si>
  <si>
    <t xml:space="preserve">structures</t>
  </si>
  <si>
    <t xml:space="preserve">traps</t>
  </si>
  <si>
    <t xml:space="preserve">frees a cap slot</t>
  </si>
  <si>
    <t xml:space="preserve">laser sight is a common buildable</t>
  </si>
  <si>
    <t xml:space="preserve">scout is a common buildable</t>
  </si>
  <si>
    <t xml:space="preserve">a seen lineage build reveals the lineage</t>
  </si>
  <si>
    <t xml:space="preserve">control mode per kind</t>
  </si>
  <si>
    <t xml:space="preserve">every structure grants vision</t>
  </si>
  <si>
    <t xml:space="preserve">a tall structure blocks sight like a prop</t>
  </si>
  <si>
    <t xml:space="preserve">autonomous structures act through guaranteed actions</t>
  </si>
  <si>
    <t xml:space="preserve">who sees it</t>
  </si>
  <si>
    <t xml:space="preserve">trigger: onEnterTile, condition: anyBody</t>
  </si>
  <si>
    <t xml:space="preserve">'had vision at placement' is a fog question</t>
  </si>
  <si>
    <t xml:space="preserve">the standing tick is a guaranteed action</t>
  </si>
  <si>
    <t xml:space="preserve">trigger: onCrossTile / onEnterTile / onOwnerTurnStart</t>
  </si>
  <si>
    <t xml:space="preserve">the beam stops at the first body, like a ray</t>
  </si>
  <si>
    <t xml:space="preserve">scout vision shows traps as markers</t>
  </si>
  <si>
    <t xml:space="preserve">Enchant on a buildable</t>
  </si>
  <si>
    <t xml:space="preserve">Sigil on a buildable</t>
  </si>
  <si>
    <t xml:space="preserve">order when several fire</t>
  </si>
  <si>
    <t xml:space="preserve">trigger: onOwnerTurnStart</t>
  </si>
  <si>
    <t xml:space="preserve">conflicts with</t>
  </si>
  <si>
    <t xml:space="preserve">fog plus a 30 s clock is the frustration risk the research flagged; watch in playtest</t>
  </si>
  <si>
    <t xml:space="preserve">answers</t>
  </si>
  <si>
    <t xml:space="preserve">the design page's open question on owned props (q-props-owned)</t>
  </si>
  <si>
    <t xml:space="preserve">Relation kinds: is made of · produces · reads · constrains · extends · reveals · overrides · conflicts with · answers. Solid arrows on the design page's concept map are 'is made of' / 'produces'; dashed are 'reads' / 'constrains'.</t>
  </si>
  <si>
    <t xml:space="preserve">Trigger vocabulary: one closed list shared by modifiers, traps, structures and guaranteed actions (M-091). 'In code' = Mimas.Core today. Adding an entry is a design decision and one handler in Core.</t>
  </si>
  <si>
    <t xml:space="preserve">Events</t>
  </si>
  <si>
    <t xml:space="preserve">Event</t>
  </si>
  <si>
    <t xml:space="preserve">Meaning</t>
  </si>
  <si>
    <t xml:space="preserve">First user</t>
  </si>
  <si>
    <t xml:space="preserve">Status</t>
  </si>
  <si>
    <t xml:space="preserve">Mechanic</t>
  </si>
  <si>
    <t xml:space="preserve">onDealDamage</t>
  </si>
  <si>
    <t xml:space="preserve">The owner is about to deal damage (attacker side).</t>
  </si>
  <si>
    <t xml:space="preserve">modifier</t>
  </si>
  <si>
    <t xml:space="preserve">in code</t>
  </si>
  <si>
    <t xml:space="preserve">onTakeDamage</t>
  </si>
  <si>
    <t xml:space="preserve">The owner is about to take damage (target side).</t>
  </si>
  <si>
    <t xml:space="preserve">onEnterTile</t>
  </si>
  <si>
    <t xml:space="preserve">A body arrives on the tile (walk step, jump landing, teleport landing). Fires per EnteredTiles.</t>
  </si>
  <si>
    <t xml:space="preserve">trap</t>
  </si>
  <si>
    <t xml:space="preserve">decided 21 Sep</t>
  </si>
  <si>
    <t xml:space="preserve">onCrossTile</t>
  </si>
  <si>
    <t xml:space="preserve">A body passes through the tile during a walk without stopping. Fires per Path. Whether jump/teleport 'cross' is OQ-N03.</t>
  </si>
  <si>
    <t xml:space="preserve">laser beam</t>
  </si>
  <si>
    <t xml:space="preserve">decided 21 Sep (scope open)</t>
  </si>
  <si>
    <t xml:space="preserve">onOwnerTurnStart</t>
  </si>
  <si>
    <t xml:space="preserve">The owner's turn begins, before AP is granted and before the clock starts. Fires in placement order (M-092).</t>
  </si>
  <si>
    <t xml:space="preserve">guaranteed action</t>
  </si>
  <si>
    <t xml:space="preserve">onAttack</t>
  </si>
  <si>
    <t xml:space="preserve">The owner performs any attacking action (hero attack, structure fire, trap fire).</t>
  </si>
  <si>
    <t xml:space="preserve">attack reveal</t>
  </si>
  <si>
    <t xml:space="preserve">onBuilt</t>
  </si>
  <si>
    <t xml:space="preserve">A build is placed. Used for the trap visibility check (was the tile in enemy vision?).</t>
  </si>
  <si>
    <t xml:space="preserve">trap marker</t>
  </si>
  <si>
    <t xml:space="preserve">onDestroyed</t>
  </si>
  <si>
    <t xml:space="preserve">A body with health reaches 0 or is destroyed by its owner.</t>
  </si>
  <si>
    <t xml:space="preserve">structure death</t>
  </si>
  <si>
    <t xml:space="preserve">onSeen</t>
  </si>
  <si>
    <t xml:space="preserve">A tile enters a viewer's vision. Used to reveal structures and to show markers.</t>
  </si>
  <si>
    <t xml:space="preserve">reveal</t>
  </si>
  <si>
    <t xml:space="preserve">onEndTurn</t>
  </si>
  <si>
    <t xml:space="preserve">The owner's turn ends.</t>
  </si>
  <si>
    <t xml:space="preserve">reserved, not used</t>
  </si>
  <si>
    <t xml:space="preserve">Conditions (all must hold)</t>
  </si>
  <si>
    <t xml:space="preserve">Condition</t>
  </si>
  <si>
    <t xml:space="preserve">damageTypes[]</t>
  </si>
  <si>
    <t xml:space="preserve">The attack's lane is one of these.</t>
  </si>
  <si>
    <t xml:space="preserve">tags[]</t>
  </si>
  <si>
    <t xml:space="preserve">The attack carries one of these tags.</t>
  </si>
  <si>
    <t xml:space="preserve">heightAdvantage</t>
  </si>
  <si>
    <t xml:space="preserve">Attacker's tile is higher than target's.</t>
  </si>
  <si>
    <t xml:space="preserve">elements[]</t>
  </si>
  <si>
    <t xml:space="preserve">The attack carries one of these elements.</t>
  </si>
  <si>
    <t xml:space="preserve">decided, not in code</t>
  </si>
  <si>
    <t xml:space="preserve">itemKinds[]</t>
  </si>
  <si>
    <t xml:space="preserve">The attack was granted by an item of this kind.</t>
  </si>
  <si>
    <t xml:space="preserve">actor: enemy | owner | any</t>
  </si>
  <si>
    <t xml:space="preserve">Who caused the event relative to the trigger's owner. Traps use 'any' (symmetric).</t>
  </si>
  <si>
    <t xml:space="preserve">bodyKind: hero | structure | any</t>
  </si>
  <si>
    <t xml:space="preserve">What kind of body caused it.</t>
  </si>
  <si>
    <t xml:space="preserve">proposed 21 Sep</t>
  </si>
  <si>
    <t xml:space="preserve">inAura</t>
  </si>
  <si>
    <t xml:space="preserve">The subject tile is inside the owner hero's aura.</t>
  </si>
  <si>
    <t xml:space="preserve">decided 21 Sep (build, destroy, directed actions)</t>
  </si>
  <si>
    <t xml:space="preserve">inVision</t>
  </si>
  <si>
    <t xml:space="preserve">The subject tile is inside the owner's vision.</t>
  </si>
  <si>
    <t xml:space="preserve">decided 21 Sep (needsVision)</t>
  </si>
  <si>
    <t xml:space="preserve">direction</t>
  </si>
  <si>
    <t xml:space="preserve">The beam direction of a directional structure (0..5).</t>
  </si>
  <si>
    <t xml:space="preserve">decided 21 Sep (laser)</t>
  </si>
  <si>
    <t xml:space="preserve">Effects</t>
  </si>
  <si>
    <t xml:space="preserve">Effect</t>
  </si>
  <si>
    <t xml:space="preserve">damage (signed flat)</t>
  </si>
  <si>
    <t xml:space="preserve">Adds to or subtracts from a damage result.</t>
  </si>
  <si>
    <t xml:space="preserve">nullify</t>
  </si>
  <si>
    <t xml:space="preserve">Sets the damage total to 0 (immunity).</t>
  </si>
  <si>
    <t xml:space="preserve">stat / abilityOverride / addElement / grantAbility</t>
  </si>
  <si>
    <t xml:space="preserve">Boon effects on the character or an item.</t>
  </si>
  <si>
    <t xml:space="preserve">dealDamage(amount, lane, element)</t>
  </si>
  <si>
    <t xml:space="preserve">A fresh damage event from a structure, trap or beam through the normal damage formula.</t>
  </si>
  <si>
    <t xml:space="preserve">spawnBody(kind, tile, direction, owner)</t>
  </si>
  <si>
    <t xml:space="preserve">Places a structure.</t>
  </si>
  <si>
    <t xml:space="preserve">placeTrap(kind, tile, owner)</t>
  </si>
  <si>
    <t xml:space="preserve">Places a trap under a tile.</t>
  </si>
  <si>
    <t xml:space="preserve">removeBody / removeTrap</t>
  </si>
  <si>
    <t xml:space="preserve">Destroy or consume.</t>
  </si>
  <si>
    <t xml:space="preserve">grantVision(radius)</t>
  </si>
  <si>
    <t xml:space="preserve">Adds tiles to the owner's vision from a build.</t>
  </si>
  <si>
    <t xml:space="preserve">reveal(what, until)</t>
  </si>
  <si>
    <t xml:space="preserve">Reveals an actor to the enemy; 'until' = start of the actor's next turn for attack reveal.</t>
  </si>
  <si>
    <t xml:space="preserve">mark(tile)</t>
  </si>
  <si>
    <t xml:space="preserve">Places a 'something is set here' marker for the enemy.</t>
  </si>
  <si>
    <t xml:space="preserve">buildableOverride(kind, field, amount)</t>
  </si>
  <si>
    <t xml:space="preserve">An Enchant on a buildable kind.</t>
  </si>
  <si>
    <t xml:space="preserve">grantStructureAction(kind, ability)</t>
  </si>
  <si>
    <t xml:space="preserve">A Sigil on a structure kind.</t>
  </si>
  <si>
    <t xml:space="preserve">Concept catalogue of buildables (M-073). Names and numbers are placeholders (TBD) unless Rohan named them. Base buildables are public to both players; upgrades from boons are hidden until observed (M-082).</t>
  </si>
  <si>
    <t xml:space="preserve">Class</t>
  </si>
  <si>
    <t xml:space="preserve">Pool</t>
  </si>
  <si>
    <t xml:space="preserve">Control (M-076)</t>
  </si>
  <si>
    <t xml:space="preserve">Body?</t>
  </si>
  <si>
    <t xml:space="preserve">hp</t>
  </si>
  <si>
    <t xml:space="preserve">Body height (units)</t>
  </si>
  <si>
    <t xml:space="preserve">Vision radius</t>
  </si>
  <si>
    <t xml:space="preserve">Build AP</t>
  </si>
  <si>
    <t xml:space="preserve">Cap per owner</t>
  </si>
  <si>
    <t xml:space="preserve">Directional?</t>
  </si>
  <si>
    <t xml:space="preserve">Reveal rule</t>
  </si>
  <si>
    <t xml:space="preserve">B-001</t>
  </si>
  <si>
    <t xml:space="preserve">structure</t>
  </si>
  <si>
    <t xml:space="preserve">common</t>
  </si>
  <si>
    <t xml:space="preserve">autonomous</t>
  </si>
  <si>
    <t xml:space="preserve">yes</t>
  </si>
  <si>
    <t xml:space="preserve">TBD</t>
  </si>
  <si>
    <t xml:space="preserve">yes (6 hex directions)</t>
  </si>
  <si>
    <t xml:space="preserve">onCrossTile / onEnterTile (move) + onOwnerTurnStart (standing)</t>
  </si>
  <si>
    <t xml:space="preserve">dealDamage to the first body on the beam line</t>
  </si>
  <si>
    <t xml:space="preserve">structure: fully once seen; beam drawn on tiles</t>
  </si>
  <si>
    <t xml:space="preserve">Named by Rohan. Stops at first body. Owner-safety OQ-N08.</t>
  </si>
  <si>
    <t xml:space="preserve">B-002</t>
  </si>
  <si>
    <t xml:space="preserve">Scout</t>
  </si>
  <si>
    <t xml:space="preserve">autonomous (no action)</t>
  </si>
  <si>
    <t xml:space="preserve">TBD (short: does not block sight)</t>
  </si>
  <si>
    <t xml:space="preserve">TBD (larger than others)</t>
  </si>
  <si>
    <t xml:space="preserve">no</t>
  </si>
  <si>
    <t xml:space="preserve">grantVision; traps in its vision show as markers</t>
  </si>
  <si>
    <t xml:space="preserve">structure: fully once seen</t>
  </si>
  <si>
    <t xml:space="preserve">Chosen by Rohan as the trap counter.</t>
  </si>
  <si>
    <t xml:space="preserve">B-003</t>
  </si>
  <si>
    <t xml:space="preserve">Trap (placeholder name)</t>
  </si>
  <si>
    <t xml:space="preserve">n/a</t>
  </si>
  <si>
    <t xml:space="preserve">no (under the tile)</t>
  </si>
  <si>
    <t xml:space="preserve">TBD (0 or small)</t>
  </si>
  <si>
    <t xml:space="preserve">onEnterTile, actor any (symmetric)</t>
  </si>
  <si>
    <t xml:space="preserve">dealDamage to the entering body; reveal; consume (OQ-N07)</t>
  </si>
  <si>
    <t xml:space="preserve">marker if placed inside enemy vision, else invisible; scout shows marker; full on fire</t>
  </si>
  <si>
    <t xml:space="preserve">No duds. Symmetric.</t>
  </si>
  <si>
    <t xml:space="preserve">B-004</t>
  </si>
  <si>
    <t xml:space="preserve">Barricade (placeholder)</t>
  </si>
  <si>
    <t xml:space="preserve">TBD (tall: blocks sight)</t>
  </si>
  <si>
    <t xml:space="preserve">blocks movement and sight; a body in a beam's way</t>
  </si>
  <si>
    <t xml:space="preserve">Not asked; suggested as the cheapest counter to a laser. Confirm or delete.</t>
  </si>
  <si>
    <t xml:space="preserve">B-101</t>
  </si>
  <si>
    <t xml:space="preserve">Greek unique (TBD)</t>
  </si>
  <si>
    <t xml:space="preserve">lineage: greek</t>
  </si>
  <si>
    <t xml:space="preserve">reveals the lineage when seen (M-083)</t>
  </si>
  <si>
    <t xml:space="preserve">Flavour direction: precision and control.</t>
  </si>
  <si>
    <t xml:space="preserve">B-201</t>
  </si>
  <si>
    <t xml:space="preserve">Norse unique (TBD)</t>
  </si>
  <si>
    <t xml:space="preserve">lineage: norse</t>
  </si>
  <si>
    <t xml:space="preserve">Flavour direction: aggression and endurance.</t>
  </si>
  <si>
    <t xml:space="preserve">B-301</t>
  </si>
  <si>
    <t xml:space="preserve">Hindu unique (TBD)</t>
  </si>
  <si>
    <t xml:space="preserve">lineage: hindu</t>
  </si>
  <si>
    <t xml:space="preserve">Flavour direction: elements and transformation.</t>
  </si>
  <si>
    <t xml:space="preserve">Shipped abilities from MimasClient/Assets/_Game/Data/abilities/*.json as of 2026-09-21. Blue = the JSON value. needsVision (M-063) is proposed: every attack must declare it; the column shows the proposed default.</t>
  </si>
  <si>
    <t xml:space="preserve">id</t>
  </si>
  <si>
    <t xml:space="preserve">Type</t>
  </si>
  <si>
    <t xml:space="preserve">Category</t>
  </si>
  <si>
    <t xml:space="preserve">Granted by</t>
  </si>
  <si>
    <t xml:space="preserve">AP cost</t>
  </si>
  <si>
    <t xml:space="preserve">Base damage</t>
  </si>
  <si>
    <t xml:space="preserve">Lane</t>
  </si>
  <si>
    <t xml:space="preserve">Range</t>
  </si>
  <si>
    <t xml:space="preserve">Min range</t>
  </si>
  <si>
    <t xml:space="preserve">Trajectory / mode</t>
  </si>
  <si>
    <t xml:space="preserve">Move range</t>
  </si>
  <si>
    <t xml:space="preserve">Other fields</t>
  </si>
  <si>
    <t xml:space="preserve">needsVision (M-063)</t>
  </si>
  <si>
    <t xml:space="preserve">Source file</t>
  </si>
  <si>
    <t xml:space="preserve">Damage per AP</t>
  </si>
  <si>
    <t xml:space="preserve">Hits to fell a pillar (10 hp, no armour, +Str 3)</t>
  </si>
  <si>
    <t xml:space="preserve">move</t>
  </si>
  <si>
    <t xml:space="preserve">Move</t>
  </si>
  <si>
    <t xml:space="preserve">movement</t>
  </si>
  <si>
    <t xml:space="preserve">innate</t>
  </si>
  <si>
    <t xml:space="preserve">walk</t>
  </si>
  <si>
    <t xml:space="preserve">climb 1</t>
  </si>
  <si>
    <t xml:space="preserve">abilities/move.json</t>
  </si>
  <si>
    <t xml:space="preserve">jump</t>
  </si>
  <si>
    <t xml:space="preserve">Jump</t>
  </si>
  <si>
    <t xml:space="preserve">leaping-boots</t>
  </si>
  <si>
    <t xml:space="preserve">jumpHeight 1</t>
  </si>
  <si>
    <t xml:space="preserve">abilities/jump.json</t>
  </si>
  <si>
    <t xml:space="preserve">teleport</t>
  </si>
  <si>
    <t xml:space="preserve">Teleport</t>
  </si>
  <si>
    <t xml:space="preserve">blink-boots</t>
  </si>
  <si>
    <t xml:space="preserve">requiresLineOfSight true</t>
  </si>
  <si>
    <t xml:space="preserve">abilities/teleport.json</t>
  </si>
  <si>
    <t xml:space="preserve">arrow-shot</t>
  </si>
  <si>
    <t xml:space="preserve">Arrow Shot</t>
  </si>
  <si>
    <t xml:space="preserve">attack</t>
  </si>
  <si>
    <t xml:space="preserve">weapon</t>
  </si>
  <si>
    <t xml:space="preserve">longbow</t>
  </si>
  <si>
    <t xml:space="preserve">arc (apex 3)</t>
  </si>
  <si>
    <t xml:space="preserve">lineOfSight false</t>
  </si>
  <si>
    <t xml:space="preserve">false (proposed)</t>
  </si>
  <si>
    <t xml:space="preserve">abilities/arrow-shot.json</t>
  </si>
  <si>
    <t xml:space="preserve">aimed-shot</t>
  </si>
  <si>
    <t xml:space="preserve">Aimed Shot</t>
  </si>
  <si>
    <t xml:space="preserve">arc (apex 4)</t>
  </si>
  <si>
    <t xml:space="preserve">abilities/aimed-shot.json</t>
  </si>
  <si>
    <t xml:space="preserve">quick-shot</t>
  </si>
  <si>
    <t xml:space="preserve">Quick Shot</t>
  </si>
  <si>
    <t xml:space="preserve">flintlock</t>
  </si>
  <si>
    <t xml:space="preserve">direct</t>
  </si>
  <si>
    <t xml:space="preserve">lineOfSight true</t>
  </si>
  <si>
    <t xml:space="preserve">abilities/quick-shot.json</t>
  </si>
  <si>
    <t xml:space="preserve">heavy-shot</t>
  </si>
  <si>
    <t xml:space="preserve">Heavy Shot</t>
  </si>
  <si>
    <t xml:space="preserve">abilities/heavy-shot.json</t>
  </si>
  <si>
    <t xml:space="preserve">fire-bolt</t>
  </si>
  <si>
    <t xml:space="preserve">Fire Bolt</t>
  </si>
  <si>
    <t xml:space="preserve">spell</t>
  </si>
  <si>
    <t xml:space="preserve">ember-circlet</t>
  </si>
  <si>
    <t xml:space="preserve">TBD per spell</t>
  </si>
  <si>
    <t xml:space="preserve">abilities/fire-bolt.json</t>
  </si>
  <si>
    <t xml:space="preserve">arcane-spark</t>
  </si>
  <si>
    <t xml:space="preserve">Arcane Spark</t>
  </si>
  <si>
    <t xml:space="preserve">abilities/arcane-spark.json</t>
  </si>
  <si>
    <t xml:space="preserve">jab</t>
  </si>
  <si>
    <t xml:space="preserve">Jab (blade, deferred)</t>
  </si>
  <si>
    <t xml:space="preserve">(unreferenced)</t>
  </si>
  <si>
    <t xml:space="preserve">abilities/jab.json</t>
  </si>
  <si>
    <t xml:space="preserve">strike</t>
  </si>
  <si>
    <t xml:space="preserve">Strike (blade, deferred)</t>
  </si>
  <si>
    <t xml:space="preserve">abilities/strike.json</t>
  </si>
  <si>
    <t xml:space="preserve">Shipped items from MimasClient/Assets/_Game/Data/items/*.json as of 2026-09-21. 21 Sep: items may later list buildables the way they list abilities? No — Rohan chose common + lineage buildables (M-073), so items stay as they are.</t>
  </si>
  <si>
    <t xml:space="preserve">Slot</t>
  </si>
  <si>
    <t xml:space="preserve">Kind</t>
  </si>
  <si>
    <t xml:space="preserve">power.weapon</t>
  </si>
  <si>
    <t xml:space="preserve">power.spell</t>
  </si>
  <si>
    <t xml:space="preserve">defense.weapon</t>
  </si>
  <si>
    <t xml:space="preserve">defense.spell</t>
  </si>
  <si>
    <t xml:space="preserve">Tags</t>
  </si>
  <si>
    <t xml:space="preserve">Longbow</t>
  </si>
  <si>
    <t xml:space="preserve">bow</t>
  </si>
  <si>
    <t xml:space="preserve">arrow-shot, aimed-shot</t>
  </si>
  <si>
    <t xml:space="preserve">bow, ranged</t>
  </si>
  <si>
    <t xml:space="preserve">items/longbow.json</t>
  </si>
  <si>
    <t xml:space="preserve">Flintlock</t>
  </si>
  <si>
    <t xml:space="preserve">gun</t>
  </si>
  <si>
    <t xml:space="preserve">quick-shot, heavy-shot</t>
  </si>
  <si>
    <t xml:space="preserve">gun, ranged</t>
  </si>
  <si>
    <t xml:space="preserve">items/flintlock.json</t>
  </si>
  <si>
    <t xml:space="preserve">Ember Circlet</t>
  </si>
  <si>
    <t xml:space="preserve">crown</t>
  </si>
  <si>
    <t xml:space="preserve">circlet</t>
  </si>
  <si>
    <t xml:space="preserve">fire-bolt, arcane-spark</t>
  </si>
  <si>
    <t xml:space="preserve">items/ember-circlet.json</t>
  </si>
  <si>
    <t xml:space="preserve">Leaping Boots</t>
  </si>
  <si>
    <t xml:space="preserve">boots</t>
  </si>
  <si>
    <t xml:space="preserve">leaping</t>
  </si>
  <si>
    <t xml:space="preserve">items/leaping-boots.json</t>
  </si>
  <si>
    <t xml:space="preserve">Blink Boots</t>
  </si>
  <si>
    <t xml:space="preserve">blink</t>
  </si>
  <si>
    <t xml:space="preserve">items/blink-boots.json</t>
  </si>
  <si>
    <t xml:space="preserve">leather-jerkin</t>
  </si>
  <si>
    <t xml:space="preserve">Leather Jerkin</t>
  </si>
  <si>
    <t xml:space="preserve">armour</t>
  </si>
  <si>
    <t xml:space="preserve">leather</t>
  </si>
  <si>
    <t xml:space="preserve">items/leather-jerkin.json</t>
  </si>
  <si>
    <t xml:space="preserve">Sample hero (longbow, ember-circlet, leaping-boots, leather-jerkin): derived stats = base (Tunables) + items</t>
  </si>
  <si>
    <t xml:space="preserve">Strength</t>
  </si>
  <si>
    <t xml:space="preserve">Magic</t>
  </si>
  <si>
    <t xml:space="preserve">Armour (weapon / spell)</t>
  </si>
  <si>
    <t xml:space="preserve">Everything that stands on a tile with a height: heroes, neutral props (shipped), owned structures (proposed 21 Sep). Sight and trajectories block on 'Body height'; shots land at 'Aim height'.</t>
  </si>
  <si>
    <t xml:space="preserve">Owner</t>
  </si>
  <si>
    <t xml:space="preserve">Aim height (units)</t>
  </si>
  <si>
    <t xml:space="preserve">hero</t>
  </si>
  <si>
    <t xml:space="preserve">Hero</t>
  </si>
  <si>
    <t xml:space="preserve">player</t>
  </si>
  <si>
    <t xml:space="preserve">20 + armour</t>
  </si>
  <si>
    <t xml:space="preserve">0 + armour</t>
  </si>
  <si>
    <t xml:space="preserve">shipped</t>
  </si>
  <si>
    <t xml:space="preserve">rules.json heights; #character</t>
  </si>
  <si>
    <t xml:space="preserve">pillar</t>
  </si>
  <si>
    <t xml:space="preserve">Stone Pillar</t>
  </si>
  <si>
    <t xml:space="preserve">prop</t>
  </si>
  <si>
    <t xml:space="preserve">neutral</t>
  </si>
  <si>
    <t xml:space="preserve">props/pillar.json</t>
  </si>
  <si>
    <t xml:space="preserve">wall</t>
  </si>
  <si>
    <t xml:space="preserve">Wall</t>
  </si>
  <si>
    <t xml:space="preserve">— (indestructible)</t>
  </si>
  <si>
    <t xml:space="preserve">props/wall.json</t>
  </si>
  <si>
    <t xml:space="preserve">laser-sight</t>
  </si>
  <si>
    <t xml:space="preserve">Laser sight (B-001)</t>
  </si>
  <si>
    <t xml:space="preserve">owner</t>
  </si>
  <si>
    <t xml:space="preserve">Buildables B-001</t>
  </si>
  <si>
    <t xml:space="preserve">scout</t>
  </si>
  <si>
    <t xml:space="preserve">Scout (B-002)</t>
  </si>
  <si>
    <t xml:space="preserve">TBD (short)</t>
  </si>
  <si>
    <t xml:space="preserve">Buildables B-002</t>
  </si>
  <si>
    <t xml:space="preserve">barricade</t>
  </si>
  <si>
    <t xml:space="preserve">Barricade (B-004, unconfirmed)</t>
  </si>
  <si>
    <t xml:space="preserve">TBD (tall)</t>
  </si>
  <si>
    <t xml:space="preserve">Buildables B-004</t>
  </si>
  <si>
    <t xml:space="preserve">Blocks a flat shot between two ground heroes? (top of column ≥ aim height, from Tunables)</t>
  </si>
  <si>
    <t xml:space="preserve">Hero body on level 0</t>
  </si>
  <si>
    <t xml:space="preserve">Bare level-1 step</t>
  </si>
  <si>
    <t xml:space="preserve">Bare level-2 plateau</t>
  </si>
  <si>
    <t xml:space="preserve">Shipped modifiers from MimasClient/Assets/_Game/Data/modifiers/*.json. stone-skin and ward-of-feathers are the bot's hidden passives (DefaultMatchSettings) used to exercise the reveal path.</t>
  </si>
  <si>
    <t xml:space="preserve">When</t>
  </si>
  <si>
    <t xml:space="preserve">effect.damage</t>
  </si>
  <si>
    <t xml:space="preserve">Visibility</t>
  </si>
  <si>
    <t xml:space="preserve">Attached by</t>
  </si>
  <si>
    <t xml:space="preserve">high-ground</t>
  </si>
  <si>
    <t xml:space="preserve">dealDamage</t>
  </si>
  <si>
    <t xml:space="preserve">public</t>
  </si>
  <si>
    <t xml:space="preserve">global (rules.globalModifiers)</t>
  </si>
  <si>
    <t xml:space="preserve">stone-skin</t>
  </si>
  <si>
    <t xml:space="preserve">Stone Skin</t>
  </si>
  <si>
    <t xml:space="preserve">takeDamage</t>
  </si>
  <si>
    <t xml:space="preserve">damageTypes: weapon</t>
  </si>
  <si>
    <t xml:space="preserve">hidden</t>
  </si>
  <si>
    <t xml:space="preserve">unit (bot preset)</t>
  </si>
  <si>
    <t xml:space="preserve">modifiers/stone-skin.json</t>
  </si>
  <si>
    <t xml:space="preserve">ward-of-feathers</t>
  </si>
  <si>
    <t xml:space="preserve">Ward of Feathers</t>
  </si>
  <si>
    <t xml:space="preserve">damageTypes: spell</t>
  </si>
  <si>
    <t xml:space="preserve">modifiers/ward-of-feathers.json</t>
  </si>
  <si>
    <t xml:space="preserve">Shipped maps and terrains. Which ladder position first brings builds, traps and fog is OQ-N06.</t>
  </si>
  <si>
    <t xml:space="preserve">Map</t>
  </si>
  <si>
    <t xml:space="preserve">Ladder position</t>
  </si>
  <si>
    <t xml:space="preserve">Tiles</t>
  </si>
  <si>
    <t xml:space="preserve">Symmetry</t>
  </si>
  <si>
    <t xml:space="preserve">Heights</t>
  </si>
  <si>
    <t xml:space="preserve">Props</t>
  </si>
  <si>
    <t xml:space="preserve">Builds allowed (proposed)</t>
  </si>
  <si>
    <t xml:space="preserve">board-3</t>
  </si>
  <si>
    <t xml:space="preserve">rotational-180</t>
  </si>
  <si>
    <t xml:space="preserve">flat; one stone hex at centre</t>
  </si>
  <si>
    <t xml:space="preserve">none</t>
  </si>
  <si>
    <t xml:space="preserve">maps/board-3.json</t>
  </si>
  <si>
    <t xml:space="preserve">arena-4</t>
  </si>
  <si>
    <t xml:space="preserve">level-2 plateau (3 hexes), level-1 steps (4)</t>
  </si>
  <si>
    <t xml:space="preserve">4 walls, 4 pillars</t>
  </si>
  <si>
    <t xml:space="preserve">maps/arena-4.json</t>
  </si>
  <si>
    <t xml:space="preserve">Terrains</t>
  </si>
  <si>
    <t xml:space="preserve">walkable</t>
  </si>
  <si>
    <t xml:space="preserve">moveCost</t>
  </si>
  <si>
    <t xml:space="preserve">Solid for sight?</t>
  </si>
  <si>
    <t xml:space="preserve">grass</t>
  </si>
  <si>
    <t xml:space="preserve">terrains.json</t>
  </si>
  <si>
    <t xml:space="preserve">stone</t>
  </si>
  <si>
    <t xml:space="preserve">yes (unwalkable is solid)</t>
  </si>
  <si>
    <t xml:space="preserve">Every rule-level number. 'Shipped' is what the JSON says on 2026-09-21 (blue). 'Target' is what design wants; blank means the same as shipped. Yellow TBD = nobody has picked a value. Row positions of T-001..T-011 and T-027 are referenced by formulas on other sheets: do not move those rows.</t>
  </si>
  <si>
    <t xml:space="preserve">Key</t>
  </si>
  <si>
    <t xml:space="preserve">Shipped value</t>
  </si>
  <si>
    <t xml:space="preserve">Unit</t>
  </si>
  <si>
    <t xml:space="preserve">Target value</t>
  </si>
  <si>
    <t xml:space="preserve">T-001</t>
  </si>
  <si>
    <t xml:space="preserve">baseStats.hp</t>
  </si>
  <si>
    <t xml:space="preserve">rules.json</t>
  </si>
  <si>
    <t xml:space="preserve">placeholder per design</t>
  </si>
  <si>
    <t xml:space="preserve">T-002</t>
  </si>
  <si>
    <t xml:space="preserve">baseStats.power.weapon</t>
  </si>
  <si>
    <t xml:space="preserve">flat</t>
  </si>
  <si>
    <t xml:space="preserve">T-003</t>
  </si>
  <si>
    <t xml:space="preserve">baseStats.power.spell</t>
  </si>
  <si>
    <t xml:space="preserve">T-004</t>
  </si>
  <si>
    <t xml:space="preserve">baseStats.defense.weapon</t>
  </si>
  <si>
    <t xml:space="preserve">T-005</t>
  </si>
  <si>
    <t xml:space="preserve">baseStats.defense.spell</t>
  </si>
  <si>
    <t xml:space="preserve">T-006</t>
  </si>
  <si>
    <t xml:space="preserve">heights.unitsPerLevel</t>
  </si>
  <si>
    <t xml:space="preserve">body units</t>
  </si>
  <si>
    <t xml:space="preserve">one map level</t>
  </si>
  <si>
    <t xml:space="preserve">T-007</t>
  </si>
  <si>
    <t xml:space="preserve">heights.body</t>
  </si>
  <si>
    <t xml:space="preserve">hero body above tile top</t>
  </si>
  <si>
    <t xml:space="preserve">T-008</t>
  </si>
  <si>
    <t xml:space="preserve">heights.aim</t>
  </si>
  <si>
    <t xml:space="preserve">muzzle and landing height</t>
  </si>
  <si>
    <t xml:space="preserve">T-009</t>
  </si>
  <si>
    <t xml:space="preserve">baseStats.ap</t>
  </si>
  <si>
    <t xml:space="preserve">AP / turn</t>
  </si>
  <si>
    <t xml:space="preserve">T-010</t>
  </si>
  <si>
    <t xml:space="preserve">clock.turnMs</t>
  </si>
  <si>
    <t xml:space="preserve">ms</t>
  </si>
  <si>
    <t xml:space="preserve">one mode at launch</t>
  </si>
  <si>
    <t xml:space="preserve">T-011</t>
  </si>
  <si>
    <t xml:space="preserve">clock.lagGraceMs</t>
  </si>
  <si>
    <t xml:space="preserve">cap on lag compensation</t>
  </si>
  <si>
    <t xml:space="preserve">T-012</t>
  </si>
  <si>
    <t xml:space="preserve">clock.reconnectGraceMs</t>
  </si>
  <si>
    <t xml:space="preserve">forfeit after</t>
  </si>
  <si>
    <t xml:space="preserve">T-013</t>
  </si>
  <si>
    <t xml:space="preserve">high-ground damage</t>
  </si>
  <si>
    <t xml:space="preserve">T-014</t>
  </si>
  <si>
    <t xml:space="preserve">walk range / maxClimb</t>
  </si>
  <si>
    <t xml:space="preserve">1 / 1</t>
  </si>
  <si>
    <t xml:space="preserve">hex / level</t>
  </si>
  <si>
    <t xml:space="preserve">T-015</t>
  </si>
  <si>
    <t xml:space="preserve">jump range / jumpHeight</t>
  </si>
  <si>
    <t xml:space="preserve">2 / 1</t>
  </si>
  <si>
    <t xml:space="preserve">T-016</t>
  </si>
  <si>
    <t xml:space="preserve">teleport range</t>
  </si>
  <si>
    <t xml:space="preserve">hex</t>
  </si>
  <si>
    <t xml:space="preserve">needs sight</t>
  </si>
  <si>
    <t xml:space="preserve">T-017</t>
  </si>
  <si>
    <t xml:space="preserve">bow range</t>
  </si>
  <si>
    <t xml:space="preserve">1..5</t>
  </si>
  <si>
    <t xml:space="preserve">circle</t>
  </si>
  <si>
    <t xml:space="preserve">T-018</t>
  </si>
  <si>
    <t xml:space="preserve">gun range</t>
  </si>
  <si>
    <t xml:space="preserve">1..7</t>
  </si>
  <si>
    <t xml:space="preserve">T-019</t>
  </si>
  <si>
    <t xml:space="preserve">session length</t>
  </si>
  <si>
    <t xml:space="preserve">best of 3</t>
  </si>
  <si>
    <t xml:space="preserve">rounds</t>
  </si>
  <si>
    <t xml:space="preserve">not in code</t>
  </si>
  <si>
    <t xml:space="preserve">T-020</t>
  </si>
  <si>
    <t xml:space="preserve">character select timer</t>
  </si>
  <si>
    <t xml:space="preserve">s</t>
  </si>
  <si>
    <t xml:space="preserve">#character-select (proposed)</t>
  </si>
  <si>
    <t xml:space="preserve">T-021</t>
  </si>
  <si>
    <t xml:space="preserve">draft timer</t>
  </si>
  <si>
    <t xml:space="preserve">#draft (proposed)</t>
  </si>
  <si>
    <t xml:space="preserve">T-022</t>
  </si>
  <si>
    <t xml:space="preserve">draft offers / keep</t>
  </si>
  <si>
    <t xml:space="preserve">3 / 1</t>
  </si>
  <si>
    <t xml:space="preserve">T-023</t>
  </si>
  <si>
    <t xml:space="preserve">time controls (bullet / blitz / rapid)</t>
  </si>
  <si>
    <t xml:space="preserve">60+0 / 180+2 / 600+0</t>
  </si>
  <si>
    <t xml:space="preserve">s bank + s increment</t>
  </si>
  <si>
    <t xml:space="preserve">timecontrols.json</t>
  </si>
  <si>
    <t xml:space="preserve">loaded, unused</t>
  </si>
  <si>
    <t xml:space="preserve">T-027</t>
  </si>
  <si>
    <t xml:space="preserve">pillar hp</t>
  </si>
  <si>
    <t xml:space="preserve">about one turn of damage</t>
  </si>
  <si>
    <t xml:space="preserve">T-028</t>
  </si>
  <si>
    <t xml:space="preserve">pillar / wall body height</t>
  </si>
  <si>
    <t xml:space="preserve">props/*.json</t>
  </si>
  <si>
    <t xml:space="preserve">T-029</t>
  </si>
  <si>
    <t xml:space="preserve">pillar / wall aim height</t>
  </si>
  <si>
    <t xml:space="preserve">T-060</t>
  </si>
  <si>
    <t xml:space="preserve">aura radius (base)</t>
  </si>
  <si>
    <t xml:space="preserve">circle radius</t>
  </si>
  <si>
    <t xml:space="preserve">(new)</t>
  </si>
  <si>
    <t xml:space="preserve">Rohan: not a number to decide today. Somewhere between bow range and gun range is the obvious bracket.</t>
  </si>
  <si>
    <t xml:space="preserve">T-061</t>
  </si>
  <si>
    <t xml:space="preserve">build range</t>
  </si>
  <si>
    <t xml:space="preserve">same as aura</t>
  </si>
  <si>
    <t xml:space="preserve">decided: inside the aura</t>
  </si>
  <si>
    <t xml:space="preserve">T-062</t>
  </si>
  <si>
    <t xml:space="preserve">destroy range</t>
  </si>
  <si>
    <t xml:space="preserve">T-063</t>
  </si>
  <si>
    <t xml:space="preserve">attack reveal duration</t>
  </si>
  <si>
    <t xml:space="preserve">until start of attacker's next turn</t>
  </si>
  <si>
    <t xml:space="preserve">turns</t>
  </si>
  <si>
    <t xml:space="preserve">T-071</t>
  </si>
  <si>
    <t xml:space="preserve">build AP cost per kind</t>
  </si>
  <si>
    <t xml:space="preserve">AP</t>
  </si>
  <si>
    <t xml:space="preserve">per buildable; see Buildables</t>
  </si>
  <si>
    <t xml:space="preserve">T-072</t>
  </si>
  <si>
    <t xml:space="preserve">destroy AP cost</t>
  </si>
  <si>
    <t xml:space="preserve">T-074</t>
  </si>
  <si>
    <t xml:space="preserve">build cap per kind</t>
  </si>
  <si>
    <t xml:space="preserve">count</t>
  </si>
  <si>
    <t xml:space="preserve">T-075</t>
  </si>
  <si>
    <t xml:space="preserve">structure hp / body / aim / vision per kind</t>
  </si>
  <si>
    <t xml:space="preserve">various</t>
  </si>
  <si>
    <t xml:space="preserve">see Buildables</t>
  </si>
  <si>
    <t xml:space="preserve">T-079</t>
  </si>
  <si>
    <t xml:space="preserve">laser damage (move-through / standing tick)</t>
  </si>
  <si>
    <t xml:space="preserve">flat, lane TBD</t>
  </si>
  <si>
    <t xml:space="preserve">lane and element not decided (OQ-N11)</t>
  </si>
  <si>
    <t xml:space="preserve">T-077</t>
  </si>
  <si>
    <t xml:space="preserve">trap damage</t>
  </si>
  <si>
    <t xml:space="preserve">T-080</t>
  </si>
  <si>
    <t xml:space="preserve">scout vision radius</t>
  </si>
  <si>
    <t xml:space="preserve">T-090</t>
  </si>
  <si>
    <t xml:space="preserve">guaranteed-action order</t>
  </si>
  <si>
    <t xml:space="preserve">placement order</t>
  </si>
  <si>
    <t xml:space="preserve">rule</t>
  </si>
  <si>
    <t xml:space="preserve">Derived checks</t>
  </si>
  <si>
    <t xml:space="preserve">Turn budget at 144 Hz, ms per frame (for the frame probe)</t>
  </si>
  <si>
    <t xml:space="preserve">Level-2 plateau top vs hero aim (units): positive = blocks a flat ground shot</t>
  </si>
  <si>
    <t xml:space="preserve">Hero aim point above ground, in levels</t>
  </si>
  <si>
    <t xml:space="preserve">Turns of Quick Shot (2 + Str 3) to kill a base hero with a jerkin (28 hp, 2 armour), 3 shots a turn</t>
  </si>
  <si>
    <t xml:space="preserve">Area</t>
  </si>
  <si>
    <t xml:space="preserve">Question</t>
  </si>
  <si>
    <t xml:space="preserve">Answer / proposal</t>
  </si>
  <si>
    <t xml:space="preserve">Answered on</t>
  </si>
  <si>
    <t xml:space="preserve">q-session-length</t>
  </si>
  <si>
    <t xml:space="preserve">Best of 3 vs best of 5 as the default, and whether the count depends on the time control.</t>
  </si>
  <si>
    <t xml:space="preserve">design page</t>
  </si>
  <si>
    <t xml:space="preserve">Rohan</t>
  </si>
  <si>
    <t xml:space="preserve">q-session-map-order</t>
  </si>
  <si>
    <t xml:space="preserve">Ladder strictly ordered, or a pool per position?</t>
  </si>
  <si>
    <t xml:space="preserve">q-round-first</t>
  </si>
  <si>
    <t xml:space="preserve">First mover: coin flip then loser-first, or alternate?</t>
  </si>
  <si>
    <t xml:space="preserve">q-round-clock</t>
  </si>
  <si>
    <t xml:space="preserve">Clock per round or per session?</t>
  </si>
  <si>
    <t xml:space="preserve">q-round-flag</t>
  </si>
  <si>
    <t xml:space="preserve">Flag fall = lose round or lose session?</t>
  </si>
  <si>
    <t xml:space="preserve">q-select-catalogue</t>
  </si>
  <si>
    <t xml:space="preserve">Whole catalogue always available, or unlocks / ban-pick?</t>
  </si>
  <si>
    <t xml:space="preserve">q-select-presets</t>
  </si>
  <si>
    <t xml:space="preserve">Presets per account or per browser?</t>
  </si>
  <si>
    <t xml:space="preserve">q-draft-comeback</t>
  </si>
  <si>
    <t xml:space="preserve">Does the round loser get a better offer?</t>
  </si>
  <si>
    <t xml:space="preserve">q-draft-tiers</t>
  </si>
  <si>
    <t xml:space="preserve">Boon tiers / rarity by round?</t>
  </si>
  <si>
    <t xml:space="preserve">q-draft-reroll</t>
  </si>
  <si>
    <t xml:space="preserve">Is there a reroll?</t>
  </si>
  <si>
    <t xml:space="preserve">q-win-draw</t>
  </si>
  <si>
    <t xml:space="preserve">Confirm simultaneous death = active player loses, or allow a draw.</t>
  </si>
  <si>
    <t xml:space="preserve">q-props-owned</t>
  </si>
  <si>
    <t xml:space="preserve">Owned props: shield generators, traps, summons a player places. Needs an owner, a spawn action and a reveal rule.</t>
  </si>
  <si>
    <t xml:space="preserve">answered</t>
  </si>
  <si>
    <t xml:space="preserve">Yes: structures (M-075) and traps (M-077), placed by the innate Build action (M-071), revealed per M-075 / M-078.</t>
  </si>
  <si>
    <t xml:space="preserve">q-props-rubble</t>
  </si>
  <si>
    <t xml:space="preserve">Does a destroyed pillar leave rubble?</t>
  </si>
  <si>
    <t xml:space="preserve">Proposed: it vanishes.</t>
  </si>
  <si>
    <t xml:space="preserve">q-maps-count</t>
  </si>
  <si>
    <t xml:space="preserve">Maps per ladder position; do players see the next map before drafting?</t>
  </si>
  <si>
    <t xml:space="preserve">q-tiles-pickups</t>
  </si>
  <si>
    <t xml:space="preserve">What can a pickup be, does it respawn?</t>
  </si>
  <si>
    <t xml:space="preserve">q-tiles-hazards</t>
  </si>
  <si>
    <t xml:space="preserve">Hazards: damage on enter, per turn, knockback into holes?</t>
  </si>
  <si>
    <t xml:space="preserve">Partly: traps damage on enter (M-077); laser damages on cross and per owner turn (M-079).</t>
  </si>
  <si>
    <t xml:space="preserve">q-tiles-visibility</t>
  </si>
  <si>
    <t xml:space="preserve">Are tile effects always public?</t>
  </si>
  <si>
    <t xml:space="preserve">No. Traps are hidden by the placement rule (M-078); fog hides everything on unseen tiles (M-061).</t>
  </si>
  <si>
    <t xml:space="preserve">q-stats-negative</t>
  </si>
  <si>
    <t xml:space="preserve">Can boons lower an enemy's stats?</t>
  </si>
  <si>
    <t xml:space="preserve">q-gear-more</t>
  </si>
  <si>
    <t xml:space="preserve">Catalogue growth and unlocks after launch.</t>
  </si>
  <si>
    <t xml:space="preserve">q-weapon-ammo</t>
  </si>
  <si>
    <t xml:space="preserve">Ammo / reload, or AP only?</t>
  </si>
  <si>
    <t xml:space="preserve">Proposed: AP only.</t>
  </si>
  <si>
    <t xml:space="preserve">q-weapon-blade</t>
  </si>
  <si>
    <t xml:space="preserve">When does blade join, with what identity?</t>
  </si>
  <si>
    <t xml:space="preserve">q-crown-utility</t>
  </si>
  <si>
    <t xml:space="preserve">Non-damage spells (heal, shield, slow)?</t>
  </si>
  <si>
    <t xml:space="preserve">Proposed: not at launch.</t>
  </si>
  <si>
    <t xml:space="preserve">q-attacks-multi</t>
  </si>
  <si>
    <t xml:space="preserve">Multi-hit and area attacks: repeated single resolution or shapes?</t>
  </si>
  <si>
    <t xml:space="preserve">Proposed: hits: N first.</t>
  </si>
  <si>
    <t xml:space="preserve">q-trajectory-enchant</t>
  </si>
  <si>
    <t xml:space="preserve">Which Enchant first swaps a trajectory; does it change lineOfSight?</t>
  </si>
  <si>
    <t xml:space="preserve">q-elements-list</t>
  </si>
  <si>
    <t xml:space="preserve">Launch element list.</t>
  </si>
  <si>
    <t xml:space="preserve">Proposed: fire, frost, lightning.</t>
  </si>
  <si>
    <t xml:space="preserve">q-elements-status</t>
  </si>
  <si>
    <t xml:space="preserve">Do elements apply statuses?</t>
  </si>
  <si>
    <t xml:space="preserve">Not at launch.</t>
  </si>
  <si>
    <t xml:space="preserve">q-lineage-starting</t>
  </si>
  <si>
    <t xml:space="preserve">Starting Blessing per lineage.</t>
  </si>
  <si>
    <t xml:space="preserve">q-lineage-mirror</t>
  </si>
  <si>
    <t xml:space="preserve">Mirror matches: any special rule?</t>
  </si>
  <si>
    <t xml:space="preserve">Proposed: fine.</t>
  </si>
  <si>
    <t xml:space="preserve">q-lineage-names</t>
  </si>
  <si>
    <t xml:space="preserve">Naming style for boons.</t>
  </si>
  <si>
    <t xml:space="preserve">q-boons-cap</t>
  </si>
  <si>
    <t xml:space="preserve">Cap on boons per session?</t>
  </si>
  <si>
    <t xml:space="preserve">q-boons-exclusive</t>
  </si>
  <si>
    <t xml:space="preserve">Exclusivity groups?</t>
  </si>
  <si>
    <t xml:space="preserve">Proposed: yes.</t>
  </si>
  <si>
    <t xml:space="preserve">q-hidden-enchant-obs</t>
  </si>
  <si>
    <t xml:space="preserve">Precise definition of 'observed number' for Enchant reveal.</t>
  </si>
  <si>
    <t xml:space="preserve">q-online-rating</t>
  </si>
  <si>
    <t xml:space="preserve">Confirm Glicko-2 and per-time-control pools.</t>
  </si>
  <si>
    <t xml:space="preserve">q-online-room-loadout</t>
  </si>
  <si>
    <t xml:space="preserve">Should a room show the other seat's preset before the match?</t>
  </si>
  <si>
    <t xml:space="preserve">q-bots-draft</t>
  </si>
  <si>
    <t xml:space="preserve">Bots must pick gear, lineage and drafts.</t>
  </si>
  <si>
    <t xml:space="preserve">builder</t>
  </si>
  <si>
    <t xml:space="preserve">q-pres-select</t>
  </si>
  <si>
    <t xml:space="preserve">Presentation</t>
  </si>
  <si>
    <t xml:space="preserve">Character select and draft screens not mocked.</t>
  </si>
  <si>
    <t xml:space="preserve">OQ-N01</t>
  </si>
  <si>
    <t xml:space="preserve">Is the aura radius a seventh stat (so Blessings change it through the stat effect) or its own field on the character?</t>
  </si>
  <si>
    <t xml:space="preserve">Proposed: a stat, 'aura', so the existing stat vocabulary carries it.</t>
  </si>
  <si>
    <t xml:space="preserve">21 Sep session</t>
  </si>
  <si>
    <t xml:space="preserve">OQ-N02</t>
  </si>
  <si>
    <t xml:space="preserve">When the enemy hero leaves your vision, does a ghost stay at its last known position, and can you blind-shot the ghost?</t>
  </si>
  <si>
    <t xml:space="preserve">OQ-N03</t>
  </si>
  <si>
    <t xml:space="preserve">Does a jump or teleport that passes over a laser beam 'cross' it? Movement enters only its destination today (EnteredTiles); crossing would need Path.</t>
  </si>
  <si>
    <t xml:space="preserve">Proposed: walking crosses; jump and teleport do not (they leave the ground), but landing on the beam counts as entering.</t>
  </si>
  <si>
    <t xml:space="preserve">OQ-N04</t>
  </si>
  <si>
    <t xml:space="preserve">Does a blind shot that hits nothing tell the shooter anything (a 'nothing there' line)?</t>
  </si>
  <si>
    <t xml:space="preserve">Proposed: yes, the tile is visibly empty for that moment; it is what the AP bought.</t>
  </si>
  <si>
    <t xml:space="preserve">OQ-N05</t>
  </si>
  <si>
    <t xml:space="preserve">Can a trap share a tile with a structure or a hero? Can you build on a tile that holds an invisible enemy trap?</t>
  </si>
  <si>
    <t xml:space="preserve">Proposed: a trap needs an empty tile; building on a trapped tile triggers the trap on the build (it is a body entering).</t>
  </si>
  <si>
    <t xml:space="preserve">OQ-N06</t>
  </si>
  <si>
    <t xml:space="preserve">Which ladder position first allows builds, traps and fog? Do early maps stay fully visible?</t>
  </si>
  <si>
    <t xml:space="preserve">OQ-N07</t>
  </si>
  <si>
    <t xml:space="preserve">Is a trap consumed when it fires, or does it persist?</t>
  </si>
  <si>
    <t xml:space="preserve">Proposed: consumed.</t>
  </si>
  <si>
    <t xml:space="preserve">OQ-N08</t>
  </si>
  <si>
    <t xml:space="preserve">Does a laser beam hurt its owner and the owner's own builds? Traps were decided symmetric; the laser was not asked.</t>
  </si>
  <si>
    <t xml:space="preserve">Yes. The beam hurts any body, its builder included (Rohan, 21 Sep, after the session). The owner's own builds are assumed included since they are bodies; confirm if not.</t>
  </si>
  <si>
    <t xml:space="preserve">OQ-N09</t>
  </si>
  <si>
    <t xml:space="preserve">A blind shot on a trapped tile: does it destroy the trap silently or trigger it (with its effect on nothing)?</t>
  </si>
  <si>
    <t xml:space="preserve">OQ-N10</t>
  </si>
  <si>
    <t xml:space="preserve">Bots must build, destroy and act under fog. RandomBot can enumerate builds; a greedy bot needs a value for vision.</t>
  </si>
  <si>
    <t xml:space="preserve">OQ-N11</t>
  </si>
  <si>
    <t xml:space="preserve">Which lane and element do trap and laser damage use? Structure damage has no power stat behind it; does the owner's Strength or Magic add?</t>
  </si>
  <si>
    <t xml:space="preserve">Proposed: a structure's damage is flat with no power stat, in the lane its data declares, so armour still applies.</t>
  </si>
  <si>
    <t xml:space="preserve">OQ-N12</t>
  </si>
  <si>
    <t xml:space="preserve">Is a barricade (B-004) wanted as the cheap counter to a laser, or is the pillar-style body of any structure enough?</t>
  </si>
  <si>
    <t xml:space="preserve">OQ-N13</t>
  </si>
  <si>
    <t xml:space="preserve">Confirm M-083: a seen lineage-unique build reveals the lineage.</t>
  </si>
  <si>
    <t xml:space="preserve">Derived from the existing lineage reveal rule.</t>
  </si>
  <si>
    <t xml:space="preserve">OQ-N14</t>
  </si>
  <si>
    <t xml:space="preserve">What exactly does 'revealed' mean for a structure: its identity and direction (M-075) and, for a hero, its tile only or its full state?</t>
  </si>
  <si>
    <t xml:space="preserve">Proposed: tile plus identity; abilities stay hidden as before.</t>
  </si>
  <si>
    <t xml:space="preserve">OQ-N16</t>
  </si>
  <si>
    <t xml:space="preserve">Should the turn end automatically when all AP are spent? From Rohan's 21 Sep playtest. He wants it decided against the full gameplay design (a 0-AP ability, or a guaranteed action worth a look, argue against; the 30 s clock argues for).</t>
  </si>
  <si>
    <t xml:space="preserve">playtest 2026-09-21</t>
  </si>
  <si>
    <t xml:space="preserve">OQ-N15</t>
  </si>
  <si>
    <t xml:space="preserve">Does the enemy's aura (its vision circle) show on your board once their hero is seen, so you can tell what they see?</t>
  </si>
  <si>
    <t xml:space="preserve">Proposed: yes, public geometry (XCOM draws detection tiles once the enemy is seen).</t>
  </si>
  <si>
    <t xml:space="preserve">Date</t>
  </si>
  <si>
    <t xml:space="preserve">Options offered</t>
  </si>
  <si>
    <t xml:space="preserve">Choice</t>
  </si>
  <si>
    <t xml:space="preserve">Mechanics</t>
  </si>
  <si>
    <t xml:space="preserve">Notes / Rohan's words</t>
  </si>
  <si>
    <t xml:space="preserve">D-2026-09-21-01</t>
  </si>
  <si>
    <t xml:space="preserve">Who drives a built thing once it is on the board?</t>
  </si>
  <si>
    <t xml:space="preserve">Autonomous only · Hero-directed · Own AP budget · Per-structure data</t>
  </si>
  <si>
    <t xml:space="preserve">Per-structure data</t>
  </si>
  <si>
    <t xml:space="preserve">Some structures fire by themselves (guaranteed actions), some are used with hero AP. Decided in data per kind.</t>
  </si>
  <si>
    <t xml:space="preserve">D-2026-09-21-02</t>
  </si>
  <si>
    <t xml:space="preserve">Where does the ability to build come from?</t>
  </si>
  <si>
    <t xml:space="preserve">Sigils and gear · A fifth gear slot · Map pickups · Innate to every hero</t>
  </si>
  <si>
    <t xml:space="preserve">Innate to every hero</t>
  </si>
  <si>
    <t xml:space="preserve">Rohan: 'we have 3 innate actions, move, build, destroy (your own build); and each of these will have a range.'</t>
  </si>
  <si>
    <t xml:space="preserve">D-2026-09-21-03</t>
  </si>
  <si>
    <t xml:space="preserve">What does 'area of influence' mean on the board?</t>
  </si>
  <si>
    <t xml:space="preserve">Reach, no fog · Fog of war · Reach plus soft fog · Contested territory</t>
  </si>
  <si>
    <t xml:space="preserve">Fog of war, aura = vision (Rohan's own words)</t>
  </si>
  <si>
    <t xml:space="preserve">M-060, M-061, M-062</t>
  </si>
  <si>
    <t xml:space="preserve">Rohan: 'area of influence is where the hero can take innate actions. and fog of war will be the vision to which the hero can see. every player build also gives vision, which area of influence is strictly based on hero… for the hero, their vision will always be equal to their area of influence, lets call it aura. aura can be effected by blessings and such'</t>
  </si>
  <si>
    <t xml:space="preserve">D-2026-09-21-04</t>
  </si>
  <si>
    <t xml:space="preserve">When a trap is set on a tile, what does the opponent see?</t>
  </si>
  <si>
    <t xml:space="preserve">Marker, not content · Count, not position · Invisible, public pool · Fully invisible</t>
  </si>
  <si>
    <t xml:space="preserve">Marker if placed in enemy vision, else invisible (Rohan's own words)</t>
  </si>
  <si>
    <t xml:space="preserve">Rohan: 'if a trap is placed when the enemy could see it being placed, then we will go with a Marker. but if it is placed where enemy had no vision, then it will be fully invisible.'</t>
  </si>
  <si>
    <t xml:space="preserve">D-2026-09-21-05</t>
  </si>
  <si>
    <t xml:space="preserve">Vision is asymmetric. What can you attack?</t>
  </si>
  <si>
    <t xml:space="preserve">Only what you see · Range decides, vision only shows · Vision plus memory · Vision for direct, not arcs</t>
  </si>
  <si>
    <t xml:space="preserve">Range decides for weapons; a needsVision flag per attack (Rohan's own words)</t>
  </si>
  <si>
    <t xml:space="preserve">M-063, M-064</t>
  </si>
  <si>
    <t xml:space="preserve">Rohan: 'for weapon attacks, range decides; so firing blind shots and getting a hit becomes a possibility. for spells it will depend, so we will have another flag of needs vision or not. also having this flag for weapon attacks would be good too, might be useful in future idea'</t>
  </si>
  <si>
    <t xml:space="preserve">D-2026-09-21-06</t>
  </si>
  <si>
    <t xml:space="preserve">How is the aura shaped and what stops it?</t>
  </si>
  <si>
    <t xml:space="preserve">Circle cut by the sight ray · Plain circle · Circle cut by unwalkable terrain only · Hex distance ring</t>
  </si>
  <si>
    <t xml:space="preserve">Circle, cut by the sight ray</t>
  </si>
  <si>
    <t xml:space="preserve">One sight rule for attacks, teleports and vision.</t>
  </si>
  <si>
    <t xml:space="preserve">D-2026-09-21-07</t>
  </si>
  <si>
    <t xml:space="preserve">What decides a hero's buildable catalogue?</t>
  </si>
  <si>
    <t xml:space="preserve">Gear carries builds · One universal catalogue · Lineage decides · Universal base plus boons</t>
  </si>
  <si>
    <t xml:space="preserve">Common buildables plus lineage-unique (Rohan's own words)</t>
  </si>
  <si>
    <t xml:space="preserve">Rohan: 'some common buildables + lineage unique. also all the base things should be known to both players easily, its any kind of upgrades that we want to keep hidden until revealed'</t>
  </si>
  <si>
    <t xml:space="preserve">D-2026-09-21-08</t>
  </si>
  <si>
    <t xml:space="preserve">What does the enemy learn on seeing a tile you built on?</t>
  </si>
  <si>
    <t xml:space="preserve">Structures fully, traps as markers · Everything as markers · Everything fully · Structures fully, traps invisible</t>
  </si>
  <si>
    <t xml:space="preserve">Structures fully, traps as markers; plus: anything that attacks is revealed (Rohan's own words)</t>
  </si>
  <si>
    <t xml:space="preserve">M-075, M-078, M-065</t>
  </si>
  <si>
    <t xml:space="preserve">Rohan: 'go with point 1. also i want to make it so that whenever anything does an attacking action, then they are revealed to the enemy'</t>
  </si>
  <si>
    <t xml:space="preserve">D-2026-09-21-09</t>
  </si>
  <si>
    <t xml:space="preserve">When do guaranteed actions fire, in what order?</t>
  </si>
  <si>
    <t xml:space="preserve">Owner's turn start, placement order · Owner picks order · All at once · End of owner's turn</t>
  </si>
  <si>
    <t xml:space="preserve">Owner's turn start, placement order</t>
  </si>
  <si>
    <t xml:space="preserve">M-090, M-092</t>
  </si>
  <si>
    <t xml:space="preserve">Into the Breach / Hearthstone model. Order shown on the board.</t>
  </si>
  <si>
    <t xml:space="preserve">D-2026-09-21-10</t>
  </si>
  <si>
    <t xml:space="preserve">What does the laser beam do?</t>
  </si>
  <si>
    <t xml:space="preserve">Hits first body at fire time · Hits every body · Zone, not a shot · Marks, does not damage</t>
  </si>
  <si>
    <t xml:space="preserve">Zone, not a shot</t>
  </si>
  <si>
    <t xml:space="preserve">Damages on entering or crossing during a move.</t>
  </si>
  <si>
    <t xml:space="preserve">D-2026-09-21-11</t>
  </si>
  <si>
    <t xml:space="preserve">What can trigger a trap?</t>
  </si>
  <si>
    <t xml:space="preserve">Enemy enters · Enemy ends turn on/adjacent · Enemy attacks from/into · Owner's turn start (multi-select)</t>
  </si>
  <si>
    <t xml:space="preserve">Enemy enters the tile (only)</t>
  </si>
  <si>
    <t xml:space="preserve">One trigger in the vocabulary for now.</t>
  </si>
  <si>
    <t xml:space="preserve">D-2026-09-21-12</t>
  </si>
  <si>
    <t xml:space="preserve">Do traps hurt their owner; do duds exist?</t>
  </si>
  <si>
    <t xml:space="preserve">Owner-safe + duds · Owner-safe, no duds · Symmetric, no duds · Symmetric + duds</t>
  </si>
  <si>
    <t xml:space="preserve">Symmetric, no duds</t>
  </si>
  <si>
    <t xml:space="preserve">A trap fires on any body, the owner included. No feint builds.</t>
  </si>
  <si>
    <t xml:space="preserve">D-2026-09-21-13</t>
  </si>
  <si>
    <t xml:space="preserve">What does building cost; what limits the count?</t>
  </si>
  <si>
    <t xml:space="preserve">AP per build, hard cap per kind · AP, no cap · Charges per round · A build resource</t>
  </si>
  <si>
    <t xml:space="preserve">AP per build, hard cap per kind</t>
  </si>
  <si>
    <t xml:space="preserve">M-071, M-074</t>
  </si>
  <si>
    <t xml:space="preserve">No new resource.</t>
  </si>
  <si>
    <t xml:space="preserve">D-2026-09-21-14</t>
  </si>
  <si>
    <t xml:space="preserve">Are structures bodies; how do they die?</t>
  </si>
  <si>
    <t xml:space="preserve">Bodies with health, per-kind height · Bodies, indestructible, timed · Not bodies · Mixed by data</t>
  </si>
  <si>
    <t xml:space="preserve">Bodies with health, per-kind height</t>
  </si>
  <si>
    <t xml:space="preserve">Vanish at round end.</t>
  </si>
  <si>
    <t xml:space="preserve">D-2026-09-21-15</t>
  </si>
  <si>
    <t xml:space="preserve">Laser edges: standing on the line at turn start; does the beam stop at the first body?</t>
  </si>
  <si>
    <t xml:space="preserve">Ticks, stops at first body · Ticks, passes through · Move-only, stops · Move-only, passes</t>
  </si>
  <si>
    <t xml:space="preserve">Ticks at turn start, stops at first body</t>
  </si>
  <si>
    <t xml:space="preserve">Bodies are the counterplay.</t>
  </si>
  <si>
    <t xml:space="preserve">D-2026-09-21-16</t>
  </si>
  <si>
    <t xml:space="preserve">How does a blind shot target; how long does attacking reveal you?</t>
  </si>
  <si>
    <t xml:space="preserve">Tile; until your next turn · Tile; momentary · Tile; rest of round · No tile targeting</t>
  </si>
  <si>
    <t xml:space="preserve">Target a tile; revealed until the start of your next turn</t>
  </si>
  <si>
    <t xml:space="preserve">M-064, M-065</t>
  </si>
  <si>
    <t xml:space="preserve">D-2026-09-21-17</t>
  </si>
  <si>
    <t xml:space="preserve">What is Destroy for, and where must the build be?</t>
  </si>
  <si>
    <t xml:space="preserve">Frees cap and tile, AP, inside aura · Free, anywhere · Detonate · Also disarms enemy builds</t>
  </si>
  <si>
    <t xml:space="preserve">Frees cap and tile, costs AP, inside aura</t>
  </si>
  <si>
    <t xml:space="preserve">Same aura rule for hero-directed structure actions.</t>
  </si>
  <si>
    <t xml:space="preserve">D-2026-09-21-18</t>
  </si>
  <si>
    <t xml:space="preserve">How does a player deal with a suspected enemy trap?</t>
  </si>
  <si>
    <t xml:space="preserve">Walk into it · Blind-shot the tile · Scout build · Aura reveals traps (multi-select)</t>
  </si>
  <si>
    <t xml:space="preserve">Blind-shot the tile; Scout build</t>
  </si>
  <si>
    <t xml:space="preserve">M-080, M-081</t>
  </si>
  <si>
    <t xml:space="preserve">The aura alone does NOT reveal traps.</t>
  </si>
  <si>
    <t xml:space="preserve">D-2026-09-21-19</t>
  </si>
  <si>
    <t xml:space="preserve">How do boons touch builds?</t>
  </si>
  <si>
    <t xml:space="preserve">Enchants and Sigils target buildables · Blessings only · Lineage builds only · New boon kind</t>
  </si>
  <si>
    <t xml:space="preserve">Enchants and Sigils target buildables too</t>
  </si>
  <si>
    <t xml:space="preserve">Hidden until observed, like gear.</t>
  </si>
  <si>
    <t xml:space="preserve">D-2026-09-21-21</t>
  </si>
  <si>
    <t xml:space="preserve">Does the laser hurt its own builder?</t>
  </si>
  <si>
    <t xml:space="preserve">(asked in the wrap-up, no options)</t>
  </si>
  <si>
    <t xml:space="preserve">Yes, the laser can hurt its own builder as well (Rohan's own words)</t>
  </si>
  <si>
    <t xml:space="preserve">Same symmetry as traps.</t>
  </si>
  <si>
    <t xml:space="preserve">D-2026-09-21-20</t>
  </si>
  <si>
    <t xml:space="preserve">How do today's concepts reach the guarded design page?</t>
  </si>
  <si>
    <t xml:space="preserve">Brief plus patch · Let me edit it now · Spreadsheet and brief only</t>
  </si>
  <si>
    <t xml:space="preserve">Spreadsheet and brief only</t>
  </si>
  <si>
    <t xml:space="preserve">The design page stays untouched until these are picked up for implementation. This workbook and docs/design/2026-09-21-board-mechanics.md are the record.</t>
  </si>
  <si>
    <t xml:space="preserve">Who</t>
  </si>
  <si>
    <t xml:space="preserve">What</t>
  </si>
  <si>
    <t xml:space="preserve">Claude (design session with Rohan)</t>
  </si>
  <si>
    <t xml:space="preserve">Workbook created. Existing mechanics M-001..M-053 transcribed from docs/design/index.html and the shipped JSON. New mechanics M-060..M-092, buildables B-001..B-301, tunables T-060..T-090, open questions OQ-N01..N15 and decisions D-2026-09-21-01..20 from the session.</t>
  </si>
  <si>
    <t xml:space="preserve">Claude (wrap-up)</t>
  </si>
  <si>
    <t xml:space="preserve">OQ-N08 answered (the laser is symmetric), D-2026-09-21-21 logged, OQ-N16 (auto end turn) added from Rohan's playtest notes.</t>
  </si>
</sst>
</file>

<file path=xl/styles.xml><?xml version="1.0" encoding="utf-8"?>
<styleSheet xmlns="http://schemas.openxmlformats.org/spreadsheetml/2006/main">
  <numFmts count="3">
    <numFmt numFmtId="164" formatCode="General"/>
    <numFmt numFmtId="165" formatCode="0.0"/>
    <numFmt numFmtId="166"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2"/>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9.xml"/><Relationship Id="rId3"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120"/>
    <col collapsed="false" customWidth="true" hidden="false" outlineLevel="0" max="3" min="2" style="0" width="14"/>
  </cols>
  <sheetData>
    <row r="1" customFormat="false" ht="17.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5" hidden="false" customHeight="false" outlineLevel="0" collapsed="false">
      <c r="A4" s="4" t="s">
        <v>2</v>
      </c>
    </row>
    <row r="5" customFormat="false" ht="15" hidden="false" customHeight="false" outlineLevel="0" collapsed="false">
      <c r="A5" s="2" t="s">
        <v>3</v>
      </c>
    </row>
    <row r="6" customFormat="false" ht="24" hidden="false" customHeight="false" outlineLevel="0" collapsed="false">
      <c r="A6" s="2" t="s">
        <v>4</v>
      </c>
    </row>
    <row r="7" customFormat="false" ht="24"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3"/>
    </row>
    <row r="10" customFormat="false" ht="15.5" hidden="false" customHeight="false" outlineLevel="0" collapsed="false">
      <c r="A10" s="4" t="s">
        <v>7</v>
      </c>
    </row>
    <row r="11" customFormat="false" ht="24" hidden="false" customHeight="false" outlineLevel="0" collapsed="false">
      <c r="A11" s="2" t="s">
        <v>8</v>
      </c>
    </row>
    <row r="12" customFormat="false" ht="15" hidden="false" customHeight="false" outlineLevel="0" collapsed="false">
      <c r="A12" s="2" t="s">
        <v>9</v>
      </c>
    </row>
    <row r="13" customFormat="false" ht="24"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3"/>
    </row>
    <row r="16" customFormat="false" ht="15.5" hidden="false" customHeight="false" outlineLevel="0" collapsed="false">
      <c r="A16" s="4" t="s">
        <v>12</v>
      </c>
    </row>
    <row r="17" customFormat="false" ht="15" hidden="false" customHeight="false" outlineLevel="0" collapsed="false">
      <c r="A17" s="2" t="s">
        <v>13</v>
      </c>
    </row>
    <row r="18" customFormat="false" ht="24"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3"/>
    </row>
    <row r="22" customFormat="false" ht="15.5" hidden="false" customHeight="false" outlineLevel="0" collapsed="false">
      <c r="A22" s="4"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t="s">
        <v>23</v>
      </c>
    </row>
    <row r="29" customFormat="false" ht="15" hidden="false" customHeight="false" outlineLevel="0" collapsed="false">
      <c r="A29" s="2" t="s">
        <v>24</v>
      </c>
    </row>
    <row r="30" customFormat="false" ht="15" hidden="false" customHeight="false" outlineLevel="0" collapsed="false">
      <c r="A30" s="2" t="s">
        <v>25</v>
      </c>
    </row>
    <row r="31" customFormat="false" ht="15" hidden="false" customHeight="false" outlineLevel="0" collapsed="false">
      <c r="A31" s="2" t="s">
        <v>26</v>
      </c>
    </row>
    <row r="32" customFormat="false" ht="15" hidden="false" customHeight="false" outlineLevel="0" collapsed="false">
      <c r="A32" s="3"/>
    </row>
    <row r="33" customFormat="false" ht="15.5" hidden="false" customHeight="false" outlineLevel="0" collapsed="false">
      <c r="A33" s="4" t="s">
        <v>27</v>
      </c>
    </row>
    <row r="34" customFormat="false" ht="15" hidden="false" customHeight="false" outlineLevel="0" collapsed="false">
      <c r="A34" s="5" t="s">
        <v>28</v>
      </c>
      <c r="B34" s="5" t="s">
        <v>29</v>
      </c>
    </row>
    <row r="35" customFormat="false" ht="15" hidden="false" customHeight="false" outlineLevel="0" collapsed="false">
      <c r="A35" s="6" t="s">
        <v>30</v>
      </c>
      <c r="B35" s="6" t="n">
        <f aca="false">COUNTIF(Mechanics!$D:$D,A35)</f>
        <v>33</v>
      </c>
    </row>
    <row r="36" customFormat="false" ht="15" hidden="false" customHeight="false" outlineLevel="0" collapsed="false">
      <c r="A36" s="6" t="s">
        <v>31</v>
      </c>
      <c r="B36" s="6" t="n">
        <f aca="false">COUNTIF(Mechanics!$D:$D,A36)</f>
        <v>25</v>
      </c>
    </row>
    <row r="37" customFormat="false" ht="15" hidden="false" customHeight="false" outlineLevel="0" collapsed="false">
      <c r="A37" s="6" t="s">
        <v>32</v>
      </c>
      <c r="B37" s="6" t="n">
        <f aca="false">COUNTIF(Mechanics!$D:$D,A37)</f>
        <v>1</v>
      </c>
    </row>
    <row r="38" customFormat="false" ht="15" hidden="false" customHeight="false" outlineLevel="0" collapsed="false">
      <c r="A38" s="6" t="s">
        <v>33</v>
      </c>
      <c r="B38" s="6" t="n">
        <f aca="false">COUNTIF(Mechanics!$D:$D,A38)</f>
        <v>0</v>
      </c>
    </row>
    <row r="40" customFormat="false" ht="15" hidden="false" customHeight="false" outlineLevel="0" collapsed="false">
      <c r="A40" s="5" t="s">
        <v>34</v>
      </c>
      <c r="B40" s="5" t="s">
        <v>29</v>
      </c>
    </row>
    <row r="41" customFormat="false" ht="15" hidden="false" customHeight="false" outlineLevel="0" collapsed="false">
      <c r="A41" s="6" t="s">
        <v>35</v>
      </c>
      <c r="B41" s="6" t="n">
        <f aca="false">COUNTIF(Mechanics!$E:$E,A41)</f>
        <v>18</v>
      </c>
    </row>
    <row r="42" customFormat="false" ht="15" hidden="false" customHeight="false" outlineLevel="0" collapsed="false">
      <c r="A42" s="6" t="s">
        <v>36</v>
      </c>
      <c r="B42" s="6" t="n">
        <f aca="false">COUNTIF(Mechanics!$E:$E,A42)</f>
        <v>8</v>
      </c>
    </row>
    <row r="43" customFormat="false" ht="15" hidden="false" customHeight="false" outlineLevel="0" collapsed="false">
      <c r="A43" s="6" t="s">
        <v>37</v>
      </c>
      <c r="B43" s="6" t="n">
        <f aca="false">COUNTIF(Mechanics!$E:$E,A43)</f>
        <v>32</v>
      </c>
    </row>
    <row r="44" customFormat="false" ht="15" hidden="false" customHeight="false" outlineLevel="0" collapsed="false">
      <c r="A44" s="6" t="s">
        <v>38</v>
      </c>
      <c r="B44" s="6" t="n">
        <f aca="false">COUNTIF(Mechanics!$E:$E,A44)</f>
        <v>1</v>
      </c>
    </row>
    <row r="46" customFormat="false" ht="15" hidden="false" customHeight="false" outlineLevel="0" collapsed="false">
      <c r="A46" s="6" t="s">
        <v>39</v>
      </c>
      <c r="B46" s="6" t="n">
        <f aca="false">COUNTA(Mechanics!$A:$A)-1</f>
        <v>59</v>
      </c>
    </row>
    <row r="47" customFormat="false" ht="15" hidden="false" customHeight="false" outlineLevel="0" collapsed="false">
      <c r="A47" s="6" t="s">
        <v>40</v>
      </c>
      <c r="B47" s="6" t="n">
        <f aca="false">COUNTIF('Open questions'!$D:$D,"open")</f>
        <v>49</v>
      </c>
    </row>
    <row r="48" customFormat="false" ht="15" hidden="false" customHeight="false" outlineLevel="0" collapsed="false">
      <c r="A48" s="6" t="s">
        <v>41</v>
      </c>
      <c r="B48" s="6" t="n">
        <f aca="false">COUNTIF(Tunables!$E:$E,"TBD*")</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1"/>
    <col collapsed="false" customWidth="true" hidden="false" outlineLevel="0" max="5" min="4" style="0" width="12"/>
    <col collapsed="false" customWidth="true" hidden="false" outlineLevel="0" max="6" min="6" style="0" width="9"/>
    <col collapsed="false" customWidth="true" hidden="false" outlineLevel="0" max="7" min="7" style="0" width="18"/>
    <col collapsed="false" customWidth="true" hidden="false" outlineLevel="0" max="8" min="8" style="0" width="70"/>
    <col collapsed="false" customWidth="true" hidden="false" outlineLevel="0" max="9" min="9" style="0" width="30"/>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24"/>
    <col collapsed="false" customWidth="true" hidden="false" outlineLevel="0" max="14" min="14" style="0" width="40"/>
    <col collapsed="false" customWidth="true" hidden="false" outlineLevel="0" max="16" min="15" style="0" width="10"/>
  </cols>
  <sheetData>
    <row r="1" customFormat="false" ht="35" hidden="false" customHeight="false" outlineLevel="0" collapsed="false">
      <c r="A1" s="7" t="s">
        <v>42</v>
      </c>
      <c r="B1" s="7" t="s">
        <v>43</v>
      </c>
      <c r="C1" s="7" t="s">
        <v>44</v>
      </c>
      <c r="D1" s="7" t="s">
        <v>28</v>
      </c>
      <c r="E1" s="7" t="s">
        <v>34</v>
      </c>
      <c r="F1" s="7" t="s">
        <v>45</v>
      </c>
      <c r="G1" s="7" t="s">
        <v>46</v>
      </c>
      <c r="H1" s="7" t="s">
        <v>47</v>
      </c>
      <c r="I1" s="7" t="s">
        <v>48</v>
      </c>
      <c r="J1" s="7" t="s">
        <v>49</v>
      </c>
      <c r="K1" s="7" t="s">
        <v>50</v>
      </c>
      <c r="L1" s="7" t="s">
        <v>51</v>
      </c>
      <c r="M1" s="7" t="s">
        <v>52</v>
      </c>
      <c r="N1" s="7" t="s">
        <v>53</v>
      </c>
      <c r="O1" s="7" t="s">
        <v>54</v>
      </c>
      <c r="P1" s="7" t="s">
        <v>55</v>
      </c>
    </row>
    <row r="2" customFormat="false" ht="24" hidden="false" customHeight="false" outlineLevel="0" collapsed="false">
      <c r="A2" s="8" t="s">
        <v>56</v>
      </c>
      <c r="B2" s="8" t="s">
        <v>57</v>
      </c>
      <c r="C2" s="8" t="s">
        <v>58</v>
      </c>
      <c r="D2" s="9" t="s">
        <v>30</v>
      </c>
      <c r="E2" s="9" t="s">
        <v>38</v>
      </c>
      <c r="F2" s="8" t="s">
        <v>59</v>
      </c>
      <c r="G2" s="8" t="s">
        <v>60</v>
      </c>
      <c r="H2" s="8" t="s">
        <v>61</v>
      </c>
      <c r="I2" s="8" t="s">
        <v>62</v>
      </c>
      <c r="J2" s="8" t="s">
        <v>63</v>
      </c>
      <c r="K2" s="8" t="s">
        <v>63</v>
      </c>
      <c r="L2" s="8" t="s">
        <v>64</v>
      </c>
      <c r="M2" s="8" t="s">
        <v>65</v>
      </c>
      <c r="N2" s="8" t="s">
        <v>66</v>
      </c>
      <c r="O2" s="10" t="n">
        <f aca="false">COUNTIF(Relations!$A:$A,A2)</f>
        <v>3</v>
      </c>
      <c r="P2" s="10" t="n">
        <f aca="false">COUNTIF(Relations!$D:$D,A2)</f>
        <v>0</v>
      </c>
    </row>
    <row r="3" customFormat="false" ht="24" hidden="false" customHeight="false" outlineLevel="0" collapsed="false">
      <c r="A3" s="8" t="s">
        <v>67</v>
      </c>
      <c r="B3" s="8" t="s">
        <v>68</v>
      </c>
      <c r="C3" s="8" t="s">
        <v>58</v>
      </c>
      <c r="D3" s="9" t="s">
        <v>30</v>
      </c>
      <c r="E3" s="9" t="s">
        <v>35</v>
      </c>
      <c r="F3" s="8" t="s">
        <v>69</v>
      </c>
      <c r="G3" s="8" t="s">
        <v>70</v>
      </c>
      <c r="H3" s="8" t="s">
        <v>71</v>
      </c>
      <c r="I3" s="8" t="s">
        <v>63</v>
      </c>
      <c r="J3" s="8" t="s">
        <v>63</v>
      </c>
      <c r="K3" s="8" t="s">
        <v>63</v>
      </c>
      <c r="L3" s="8" t="s">
        <v>64</v>
      </c>
      <c r="M3" s="8" t="s">
        <v>72</v>
      </c>
      <c r="N3" s="8" t="s">
        <v>73</v>
      </c>
      <c r="O3" s="10" t="n">
        <f aca="false">COUNTIF(Relations!$A:$A,A3)</f>
        <v>3</v>
      </c>
      <c r="P3" s="10" t="n">
        <f aca="false">COUNTIF(Relations!$D:$D,A3)</f>
        <v>1</v>
      </c>
    </row>
    <row r="4" customFormat="false" ht="35" hidden="false" customHeight="false" outlineLevel="0" collapsed="false">
      <c r="A4" s="8" t="s">
        <v>74</v>
      </c>
      <c r="B4" s="8" t="s">
        <v>75</v>
      </c>
      <c r="C4" s="8" t="s">
        <v>58</v>
      </c>
      <c r="D4" s="9" t="s">
        <v>30</v>
      </c>
      <c r="E4" s="9" t="s">
        <v>35</v>
      </c>
      <c r="F4" s="8" t="s">
        <v>76</v>
      </c>
      <c r="G4" s="8" t="s">
        <v>77</v>
      </c>
      <c r="H4" s="8" t="s">
        <v>78</v>
      </c>
      <c r="I4" s="8" t="s">
        <v>63</v>
      </c>
      <c r="J4" s="8" t="s">
        <v>79</v>
      </c>
      <c r="K4" s="8" t="s">
        <v>63</v>
      </c>
      <c r="L4" s="8" t="s">
        <v>80</v>
      </c>
      <c r="M4" s="8" t="s">
        <v>81</v>
      </c>
      <c r="N4" s="8" t="s">
        <v>82</v>
      </c>
      <c r="O4" s="10" t="n">
        <f aca="false">COUNTIF(Relations!$A:$A,A4)</f>
        <v>3</v>
      </c>
      <c r="P4" s="10" t="n">
        <f aca="false">COUNTIF(Relations!$D:$D,A4)</f>
        <v>1</v>
      </c>
    </row>
    <row r="5" customFormat="false" ht="46" hidden="false" customHeight="false" outlineLevel="0" collapsed="false">
      <c r="A5" s="8" t="s">
        <v>83</v>
      </c>
      <c r="B5" s="8" t="s">
        <v>84</v>
      </c>
      <c r="C5" s="8" t="s">
        <v>58</v>
      </c>
      <c r="D5" s="9" t="s">
        <v>31</v>
      </c>
      <c r="E5" s="9" t="s">
        <v>36</v>
      </c>
      <c r="F5" s="8" t="s">
        <v>69</v>
      </c>
      <c r="G5" s="8" t="s">
        <v>85</v>
      </c>
      <c r="H5" s="8" t="s">
        <v>86</v>
      </c>
      <c r="I5" s="8" t="s">
        <v>63</v>
      </c>
      <c r="J5" s="8" t="s">
        <v>87</v>
      </c>
      <c r="K5" s="8" t="s">
        <v>63</v>
      </c>
      <c r="L5" s="8" t="s">
        <v>88</v>
      </c>
      <c r="M5" s="8" t="s">
        <v>89</v>
      </c>
      <c r="N5" s="8"/>
      <c r="O5" s="10" t="n">
        <f aca="false">COUNTIF(Relations!$A:$A,A5)</f>
        <v>1</v>
      </c>
      <c r="P5" s="10" t="n">
        <f aca="false">COUNTIF(Relations!$D:$D,A5)</f>
        <v>1</v>
      </c>
    </row>
    <row r="6" customFormat="false" ht="15" hidden="false" customHeight="false" outlineLevel="0" collapsed="false">
      <c r="A6" s="8" t="s">
        <v>90</v>
      </c>
      <c r="B6" s="8" t="s">
        <v>91</v>
      </c>
      <c r="C6" s="8" t="s">
        <v>58</v>
      </c>
      <c r="D6" s="9" t="s">
        <v>30</v>
      </c>
      <c r="E6" s="9" t="s">
        <v>37</v>
      </c>
      <c r="F6" s="8" t="s">
        <v>92</v>
      </c>
      <c r="G6" s="8" t="s">
        <v>93</v>
      </c>
      <c r="H6" s="8" t="s">
        <v>94</v>
      </c>
      <c r="I6" s="8" t="s">
        <v>95</v>
      </c>
      <c r="J6" s="8" t="s">
        <v>63</v>
      </c>
      <c r="K6" s="8" t="s">
        <v>63</v>
      </c>
      <c r="L6" s="8" t="s">
        <v>64</v>
      </c>
      <c r="M6" s="8" t="s">
        <v>96</v>
      </c>
      <c r="N6" s="8"/>
      <c r="O6" s="10" t="n">
        <f aca="false">COUNTIF(Relations!$A:$A,A6)</f>
        <v>0</v>
      </c>
      <c r="P6" s="10" t="n">
        <f aca="false">COUNTIF(Relations!$D:$D,A6)</f>
        <v>0</v>
      </c>
    </row>
    <row r="7" customFormat="false" ht="15" hidden="false" customHeight="false" outlineLevel="0" collapsed="false">
      <c r="A7" s="8" t="s">
        <v>97</v>
      </c>
      <c r="B7" s="8" t="s">
        <v>98</v>
      </c>
      <c r="C7" s="8" t="s">
        <v>58</v>
      </c>
      <c r="D7" s="9" t="s">
        <v>30</v>
      </c>
      <c r="E7" s="9" t="s">
        <v>37</v>
      </c>
      <c r="F7" s="8" t="s">
        <v>99</v>
      </c>
      <c r="G7" s="8" t="s">
        <v>100</v>
      </c>
      <c r="H7" s="8" t="s">
        <v>101</v>
      </c>
      <c r="I7" s="8" t="s">
        <v>102</v>
      </c>
      <c r="J7" s="8" t="s">
        <v>63</v>
      </c>
      <c r="K7" s="8" t="s">
        <v>63</v>
      </c>
      <c r="L7" s="8" t="s">
        <v>64</v>
      </c>
      <c r="M7" s="8" t="s">
        <v>103</v>
      </c>
      <c r="N7" s="8"/>
      <c r="O7" s="10" t="n">
        <f aca="false">COUNTIF(Relations!$A:$A,A7)</f>
        <v>0</v>
      </c>
      <c r="P7" s="10" t="n">
        <f aca="false">COUNTIF(Relations!$D:$D,A7)</f>
        <v>1</v>
      </c>
    </row>
    <row r="8" customFormat="false" ht="24" hidden="false" customHeight="false" outlineLevel="0" collapsed="false">
      <c r="A8" s="8" t="s">
        <v>104</v>
      </c>
      <c r="B8" s="8" t="s">
        <v>105</v>
      </c>
      <c r="C8" s="8" t="s">
        <v>58</v>
      </c>
      <c r="D8" s="9" t="s">
        <v>30</v>
      </c>
      <c r="E8" s="9" t="s">
        <v>36</v>
      </c>
      <c r="F8" s="8" t="s">
        <v>69</v>
      </c>
      <c r="G8" s="8" t="s">
        <v>106</v>
      </c>
      <c r="H8" s="8" t="s">
        <v>107</v>
      </c>
      <c r="I8" s="8" t="s">
        <v>63</v>
      </c>
      <c r="J8" s="8" t="s">
        <v>63</v>
      </c>
      <c r="K8" s="8" t="s">
        <v>63</v>
      </c>
      <c r="L8" s="8" t="s">
        <v>64</v>
      </c>
      <c r="M8" s="8" t="s">
        <v>108</v>
      </c>
      <c r="N8" s="8" t="s">
        <v>109</v>
      </c>
      <c r="O8" s="10" t="n">
        <f aca="false">COUNTIF(Relations!$A:$A,A8)</f>
        <v>2</v>
      </c>
      <c r="P8" s="10" t="n">
        <f aca="false">COUNTIF(Relations!$D:$D,A8)</f>
        <v>0</v>
      </c>
    </row>
    <row r="9" customFormat="false" ht="24" hidden="false" customHeight="false" outlineLevel="0" collapsed="false">
      <c r="A9" s="8" t="s">
        <v>110</v>
      </c>
      <c r="B9" s="8" t="s">
        <v>111</v>
      </c>
      <c r="C9" s="8" t="s">
        <v>112</v>
      </c>
      <c r="D9" s="9" t="s">
        <v>30</v>
      </c>
      <c r="E9" s="9" t="s">
        <v>35</v>
      </c>
      <c r="F9" s="8" t="s">
        <v>92</v>
      </c>
      <c r="G9" s="8" t="s">
        <v>113</v>
      </c>
      <c r="H9" s="8" t="s">
        <v>114</v>
      </c>
      <c r="I9" s="8" t="s">
        <v>115</v>
      </c>
      <c r="J9" s="8" t="s">
        <v>63</v>
      </c>
      <c r="K9" s="8" t="s">
        <v>63</v>
      </c>
      <c r="L9" s="8" t="s">
        <v>64</v>
      </c>
      <c r="M9" s="8" t="s">
        <v>116</v>
      </c>
      <c r="N9" s="8"/>
      <c r="O9" s="10" t="n">
        <f aca="false">COUNTIF(Relations!$A:$A,A9)</f>
        <v>1</v>
      </c>
      <c r="P9" s="10" t="n">
        <f aca="false">COUNTIF(Relations!$D:$D,A9)</f>
        <v>0</v>
      </c>
    </row>
    <row r="10" customFormat="false" ht="35" hidden="false" customHeight="false" outlineLevel="0" collapsed="false">
      <c r="A10" s="8" t="s">
        <v>117</v>
      </c>
      <c r="B10" s="8" t="s">
        <v>118</v>
      </c>
      <c r="C10" s="8" t="s">
        <v>112</v>
      </c>
      <c r="D10" s="9" t="s">
        <v>30</v>
      </c>
      <c r="E10" s="9" t="s">
        <v>35</v>
      </c>
      <c r="F10" s="8" t="s">
        <v>119</v>
      </c>
      <c r="G10" s="8" t="s">
        <v>120</v>
      </c>
      <c r="H10" s="8" t="s">
        <v>121</v>
      </c>
      <c r="I10" s="8" t="s">
        <v>122</v>
      </c>
      <c r="J10" s="8" t="s">
        <v>63</v>
      </c>
      <c r="K10" s="8" t="s">
        <v>123</v>
      </c>
      <c r="L10" s="8" t="s">
        <v>64</v>
      </c>
      <c r="M10" s="8" t="s">
        <v>124</v>
      </c>
      <c r="N10" s="8" t="s">
        <v>125</v>
      </c>
      <c r="O10" s="10" t="n">
        <f aca="false">COUNTIF(Relations!$A:$A,A10)</f>
        <v>3</v>
      </c>
      <c r="P10" s="10" t="n">
        <f aca="false">COUNTIF(Relations!$D:$D,A10)</f>
        <v>4</v>
      </c>
    </row>
    <row r="11" customFormat="false" ht="35" hidden="false" customHeight="false" outlineLevel="0" collapsed="false">
      <c r="A11" s="8" t="s">
        <v>126</v>
      </c>
      <c r="B11" s="8" t="s">
        <v>127</v>
      </c>
      <c r="C11" s="8" t="s">
        <v>112</v>
      </c>
      <c r="D11" s="9" t="s">
        <v>30</v>
      </c>
      <c r="E11" s="9" t="s">
        <v>35</v>
      </c>
      <c r="F11" s="8" t="s">
        <v>92</v>
      </c>
      <c r="G11" s="8" t="s">
        <v>128</v>
      </c>
      <c r="H11" s="8" t="s">
        <v>129</v>
      </c>
      <c r="I11" s="8" t="s">
        <v>115</v>
      </c>
      <c r="J11" s="8" t="s">
        <v>63</v>
      </c>
      <c r="K11" s="8" t="s">
        <v>130</v>
      </c>
      <c r="L11" s="8" t="s">
        <v>64</v>
      </c>
      <c r="M11" s="8" t="s">
        <v>131</v>
      </c>
      <c r="N11" s="8" t="s">
        <v>132</v>
      </c>
      <c r="O11" s="10" t="n">
        <f aca="false">COUNTIF(Relations!$A:$A,A11)</f>
        <v>1</v>
      </c>
      <c r="P11" s="10" t="n">
        <f aca="false">COUNTIF(Relations!$D:$D,A11)</f>
        <v>1</v>
      </c>
    </row>
    <row r="12" customFormat="false" ht="24" hidden="false" customHeight="false" outlineLevel="0" collapsed="false">
      <c r="A12" s="8" t="s">
        <v>133</v>
      </c>
      <c r="B12" s="8" t="s">
        <v>134</v>
      </c>
      <c r="C12" s="8" t="s">
        <v>112</v>
      </c>
      <c r="D12" s="9" t="s">
        <v>30</v>
      </c>
      <c r="E12" s="9" t="s">
        <v>35</v>
      </c>
      <c r="F12" s="8" t="s">
        <v>135</v>
      </c>
      <c r="G12" s="8" t="s">
        <v>136</v>
      </c>
      <c r="H12" s="8" t="s">
        <v>137</v>
      </c>
      <c r="I12" s="8" t="s">
        <v>115</v>
      </c>
      <c r="J12" s="8" t="s">
        <v>63</v>
      </c>
      <c r="K12" s="8" t="s">
        <v>63</v>
      </c>
      <c r="L12" s="8" t="s">
        <v>64</v>
      </c>
      <c r="M12" s="8" t="s">
        <v>138</v>
      </c>
      <c r="N12" s="8" t="s">
        <v>139</v>
      </c>
      <c r="O12" s="10" t="n">
        <f aca="false">COUNTIF(Relations!$A:$A,A12)</f>
        <v>1</v>
      </c>
      <c r="P12" s="10" t="n">
        <f aca="false">COUNTIF(Relations!$D:$D,A12)</f>
        <v>1</v>
      </c>
    </row>
    <row r="13" customFormat="false" ht="35" hidden="false" customHeight="false" outlineLevel="0" collapsed="false">
      <c r="A13" s="8" t="s">
        <v>140</v>
      </c>
      <c r="B13" s="8" t="s">
        <v>141</v>
      </c>
      <c r="C13" s="8" t="s">
        <v>112</v>
      </c>
      <c r="D13" s="9" t="s">
        <v>32</v>
      </c>
      <c r="E13" s="9" t="s">
        <v>37</v>
      </c>
      <c r="F13" s="8" t="s">
        <v>142</v>
      </c>
      <c r="G13" s="8" t="s">
        <v>143</v>
      </c>
      <c r="H13" s="8" t="s">
        <v>144</v>
      </c>
      <c r="I13" s="8" t="s">
        <v>145</v>
      </c>
      <c r="J13" s="8" t="s">
        <v>63</v>
      </c>
      <c r="K13" s="8" t="s">
        <v>63</v>
      </c>
      <c r="L13" s="8"/>
      <c r="M13" s="8" t="s">
        <v>146</v>
      </c>
      <c r="N13" s="8" t="s">
        <v>147</v>
      </c>
      <c r="O13" s="10" t="n">
        <f aca="false">COUNTIF(Relations!$A:$A,A13)</f>
        <v>1</v>
      </c>
      <c r="P13" s="10" t="n">
        <f aca="false">COUNTIF(Relations!$D:$D,A13)</f>
        <v>1</v>
      </c>
    </row>
    <row r="14" customFormat="false" ht="15" hidden="false" customHeight="false" outlineLevel="0" collapsed="false">
      <c r="A14" s="8" t="s">
        <v>148</v>
      </c>
      <c r="B14" s="8" t="s">
        <v>149</v>
      </c>
      <c r="C14" s="8" t="s">
        <v>112</v>
      </c>
      <c r="D14" s="9" t="s">
        <v>30</v>
      </c>
      <c r="E14" s="9" t="s">
        <v>35</v>
      </c>
      <c r="F14" s="8" t="s">
        <v>92</v>
      </c>
      <c r="G14" s="8" t="s">
        <v>113</v>
      </c>
      <c r="H14" s="8" t="s">
        <v>150</v>
      </c>
      <c r="I14" s="8" t="s">
        <v>151</v>
      </c>
      <c r="J14" s="8" t="s">
        <v>63</v>
      </c>
      <c r="K14" s="8" t="s">
        <v>63</v>
      </c>
      <c r="L14" s="8" t="s">
        <v>80</v>
      </c>
      <c r="M14" s="8" t="s">
        <v>152</v>
      </c>
      <c r="N14" s="8"/>
      <c r="O14" s="10" t="n">
        <f aca="false">COUNTIF(Relations!$A:$A,A14)</f>
        <v>0</v>
      </c>
      <c r="P14" s="10" t="n">
        <f aca="false">COUNTIF(Relations!$D:$D,A14)</f>
        <v>1</v>
      </c>
    </row>
    <row r="15" customFormat="false" ht="24" hidden="false" customHeight="false" outlineLevel="0" collapsed="false">
      <c r="A15" s="8" t="s">
        <v>153</v>
      </c>
      <c r="B15" s="8" t="s">
        <v>154</v>
      </c>
      <c r="C15" s="8" t="s">
        <v>155</v>
      </c>
      <c r="D15" s="9" t="s">
        <v>30</v>
      </c>
      <c r="E15" s="9" t="s">
        <v>35</v>
      </c>
      <c r="F15" s="8" t="s">
        <v>92</v>
      </c>
      <c r="G15" s="8" t="s">
        <v>156</v>
      </c>
      <c r="H15" s="8" t="s">
        <v>157</v>
      </c>
      <c r="I15" s="8" t="s">
        <v>63</v>
      </c>
      <c r="J15" s="8" t="s">
        <v>63</v>
      </c>
      <c r="K15" s="8" t="s">
        <v>63</v>
      </c>
      <c r="L15" s="8" t="s">
        <v>64</v>
      </c>
      <c r="M15" s="8" t="s">
        <v>158</v>
      </c>
      <c r="N15" s="8" t="s">
        <v>159</v>
      </c>
      <c r="O15" s="10" t="n">
        <f aca="false">COUNTIF(Relations!$A:$A,A15)</f>
        <v>4</v>
      </c>
      <c r="P15" s="10" t="n">
        <f aca="false">COUNTIF(Relations!$D:$D,A15)</f>
        <v>0</v>
      </c>
    </row>
    <row r="16" customFormat="false" ht="24" hidden="false" customHeight="false" outlineLevel="0" collapsed="false">
      <c r="A16" s="8" t="s">
        <v>160</v>
      </c>
      <c r="B16" s="8" t="s">
        <v>161</v>
      </c>
      <c r="C16" s="8" t="s">
        <v>155</v>
      </c>
      <c r="D16" s="9" t="s">
        <v>30</v>
      </c>
      <c r="E16" s="9" t="s">
        <v>35</v>
      </c>
      <c r="F16" s="8" t="s">
        <v>92</v>
      </c>
      <c r="G16" s="8" t="s">
        <v>162</v>
      </c>
      <c r="H16" s="8" t="s">
        <v>163</v>
      </c>
      <c r="I16" s="8" t="s">
        <v>164</v>
      </c>
      <c r="J16" s="8" t="s">
        <v>63</v>
      </c>
      <c r="K16" s="8" t="s">
        <v>63</v>
      </c>
      <c r="L16" s="8" t="s">
        <v>64</v>
      </c>
      <c r="M16" s="8" t="s">
        <v>165</v>
      </c>
      <c r="N16" s="8" t="s">
        <v>166</v>
      </c>
      <c r="O16" s="10" t="n">
        <f aca="false">COUNTIF(Relations!$A:$A,A16)</f>
        <v>1</v>
      </c>
      <c r="P16" s="10" t="n">
        <f aca="false">COUNTIF(Relations!$D:$D,A16)</f>
        <v>0</v>
      </c>
    </row>
    <row r="17" customFormat="false" ht="24" hidden="false" customHeight="false" outlineLevel="0" collapsed="false">
      <c r="A17" s="8" t="s">
        <v>167</v>
      </c>
      <c r="B17" s="8" t="s">
        <v>168</v>
      </c>
      <c r="C17" s="8" t="s">
        <v>155</v>
      </c>
      <c r="D17" s="9" t="s">
        <v>30</v>
      </c>
      <c r="E17" s="9" t="s">
        <v>35</v>
      </c>
      <c r="F17" s="8" t="s">
        <v>92</v>
      </c>
      <c r="G17" s="8" t="s">
        <v>169</v>
      </c>
      <c r="H17" s="8" t="s">
        <v>170</v>
      </c>
      <c r="I17" s="8" t="s">
        <v>171</v>
      </c>
      <c r="J17" s="8" t="s">
        <v>63</v>
      </c>
      <c r="K17" s="8" t="s">
        <v>63</v>
      </c>
      <c r="L17" s="8" t="s">
        <v>64</v>
      </c>
      <c r="M17" s="8" t="s">
        <v>172</v>
      </c>
      <c r="N17" s="8"/>
      <c r="O17" s="10" t="n">
        <f aca="false">COUNTIF(Relations!$A:$A,A17)</f>
        <v>1</v>
      </c>
      <c r="P17" s="10" t="n">
        <f aca="false">COUNTIF(Relations!$D:$D,A17)</f>
        <v>1</v>
      </c>
    </row>
    <row r="18" customFormat="false" ht="24" hidden="false" customHeight="false" outlineLevel="0" collapsed="false">
      <c r="A18" s="8" t="s">
        <v>173</v>
      </c>
      <c r="B18" s="8" t="s">
        <v>174</v>
      </c>
      <c r="C18" s="8" t="s">
        <v>155</v>
      </c>
      <c r="D18" s="9" t="s">
        <v>30</v>
      </c>
      <c r="E18" s="9" t="s">
        <v>35</v>
      </c>
      <c r="F18" s="8" t="s">
        <v>92</v>
      </c>
      <c r="G18" s="8" t="s">
        <v>175</v>
      </c>
      <c r="H18" s="8" t="s">
        <v>176</v>
      </c>
      <c r="I18" s="8" t="s">
        <v>63</v>
      </c>
      <c r="J18" s="8" t="s">
        <v>63</v>
      </c>
      <c r="K18" s="8" t="s">
        <v>63</v>
      </c>
      <c r="L18" s="8" t="s">
        <v>64</v>
      </c>
      <c r="M18" s="8" t="s">
        <v>177</v>
      </c>
      <c r="N18" s="8"/>
      <c r="O18" s="10" t="n">
        <f aca="false">COUNTIF(Relations!$A:$A,A18)</f>
        <v>0</v>
      </c>
      <c r="P18" s="10" t="n">
        <f aca="false">COUNTIF(Relations!$D:$D,A18)</f>
        <v>0</v>
      </c>
    </row>
    <row r="19" customFormat="false" ht="24" hidden="false" customHeight="false" outlineLevel="0" collapsed="false">
      <c r="A19" s="8" t="s">
        <v>178</v>
      </c>
      <c r="B19" s="8" t="s">
        <v>179</v>
      </c>
      <c r="C19" s="8" t="s">
        <v>155</v>
      </c>
      <c r="D19" s="9" t="s">
        <v>30</v>
      </c>
      <c r="E19" s="9" t="s">
        <v>35</v>
      </c>
      <c r="F19" s="8" t="s">
        <v>92</v>
      </c>
      <c r="G19" s="8" t="s">
        <v>180</v>
      </c>
      <c r="H19" s="8" t="s">
        <v>181</v>
      </c>
      <c r="I19" s="8" t="s">
        <v>63</v>
      </c>
      <c r="J19" s="8" t="s">
        <v>63</v>
      </c>
      <c r="K19" s="8" t="s">
        <v>63</v>
      </c>
      <c r="L19" s="8" t="s">
        <v>64</v>
      </c>
      <c r="M19" s="8" t="s">
        <v>182</v>
      </c>
      <c r="N19" s="8" t="s">
        <v>183</v>
      </c>
      <c r="O19" s="10" t="n">
        <f aca="false">COUNTIF(Relations!$A:$A,A19)</f>
        <v>0</v>
      </c>
      <c r="P19" s="10" t="n">
        <f aca="false">COUNTIF(Relations!$D:$D,A19)</f>
        <v>0</v>
      </c>
    </row>
    <row r="20" customFormat="false" ht="15" hidden="false" customHeight="false" outlineLevel="0" collapsed="false">
      <c r="A20" s="8" t="s">
        <v>184</v>
      </c>
      <c r="B20" s="8" t="s">
        <v>185</v>
      </c>
      <c r="C20" s="8" t="s">
        <v>155</v>
      </c>
      <c r="D20" s="9" t="s">
        <v>30</v>
      </c>
      <c r="E20" s="9" t="s">
        <v>35</v>
      </c>
      <c r="F20" s="8" t="s">
        <v>186</v>
      </c>
      <c r="G20" s="8" t="s">
        <v>187</v>
      </c>
      <c r="H20" s="8" t="s">
        <v>188</v>
      </c>
      <c r="I20" s="8" t="s">
        <v>63</v>
      </c>
      <c r="J20" s="8" t="s">
        <v>63</v>
      </c>
      <c r="K20" s="8" t="s">
        <v>63</v>
      </c>
      <c r="L20" s="8" t="s">
        <v>64</v>
      </c>
      <c r="M20" s="8" t="s">
        <v>189</v>
      </c>
      <c r="N20" s="8"/>
      <c r="O20" s="10" t="n">
        <f aca="false">COUNTIF(Relations!$A:$A,A20)</f>
        <v>0</v>
      </c>
      <c r="P20" s="10" t="n">
        <f aca="false">COUNTIF(Relations!$D:$D,A20)</f>
        <v>0</v>
      </c>
    </row>
    <row r="21" customFormat="false" ht="15" hidden="false" customHeight="false" outlineLevel="0" collapsed="false">
      <c r="A21" s="8" t="s">
        <v>190</v>
      </c>
      <c r="B21" s="8" t="s">
        <v>191</v>
      </c>
      <c r="C21" s="8" t="s">
        <v>155</v>
      </c>
      <c r="D21" s="9" t="s">
        <v>30</v>
      </c>
      <c r="E21" s="9" t="s">
        <v>35</v>
      </c>
      <c r="F21" s="8" t="s">
        <v>92</v>
      </c>
      <c r="G21" s="8" t="s">
        <v>192</v>
      </c>
      <c r="H21" s="8" t="s">
        <v>193</v>
      </c>
      <c r="I21" s="8" t="s">
        <v>63</v>
      </c>
      <c r="J21" s="8" t="s">
        <v>63</v>
      </c>
      <c r="K21" s="8" t="s">
        <v>63</v>
      </c>
      <c r="L21" s="8" t="s">
        <v>64</v>
      </c>
      <c r="M21" s="8" t="s">
        <v>194</v>
      </c>
      <c r="N21" s="8"/>
      <c r="O21" s="10" t="n">
        <f aca="false">COUNTIF(Relations!$A:$A,A21)</f>
        <v>0</v>
      </c>
      <c r="P21" s="10" t="n">
        <f aca="false">COUNTIF(Relations!$D:$D,A21)</f>
        <v>0</v>
      </c>
    </row>
    <row r="22" customFormat="false" ht="24" hidden="false" customHeight="false" outlineLevel="0" collapsed="false">
      <c r="A22" s="8" t="s">
        <v>195</v>
      </c>
      <c r="B22" s="8" t="s">
        <v>196</v>
      </c>
      <c r="C22" s="8" t="s">
        <v>197</v>
      </c>
      <c r="D22" s="9" t="s">
        <v>30</v>
      </c>
      <c r="E22" s="9" t="s">
        <v>36</v>
      </c>
      <c r="F22" s="8" t="s">
        <v>92</v>
      </c>
      <c r="G22" s="8" t="s">
        <v>198</v>
      </c>
      <c r="H22" s="8" t="s">
        <v>199</v>
      </c>
      <c r="I22" s="8" t="s">
        <v>200</v>
      </c>
      <c r="J22" s="8" t="s">
        <v>63</v>
      </c>
      <c r="K22" s="8" t="s">
        <v>63</v>
      </c>
      <c r="L22" s="8" t="s">
        <v>80</v>
      </c>
      <c r="M22" s="8" t="s">
        <v>201</v>
      </c>
      <c r="N22" s="8" t="s">
        <v>202</v>
      </c>
      <c r="O22" s="10" t="n">
        <f aca="false">COUNTIF(Relations!$A:$A,A22)</f>
        <v>4</v>
      </c>
      <c r="P22" s="10" t="n">
        <f aca="false">COUNTIF(Relations!$D:$D,A22)</f>
        <v>1</v>
      </c>
    </row>
    <row r="23" customFormat="false" ht="24" hidden="false" customHeight="false" outlineLevel="0" collapsed="false">
      <c r="A23" s="8" t="s">
        <v>203</v>
      </c>
      <c r="B23" s="8" t="s">
        <v>204</v>
      </c>
      <c r="C23" s="8" t="s">
        <v>197</v>
      </c>
      <c r="D23" s="9" t="s">
        <v>30</v>
      </c>
      <c r="E23" s="9" t="s">
        <v>35</v>
      </c>
      <c r="F23" s="8" t="s">
        <v>186</v>
      </c>
      <c r="G23" s="8" t="s">
        <v>205</v>
      </c>
      <c r="H23" s="8" t="s">
        <v>206</v>
      </c>
      <c r="I23" s="8" t="s">
        <v>63</v>
      </c>
      <c r="J23" s="8" t="s">
        <v>63</v>
      </c>
      <c r="K23" s="8" t="s">
        <v>63</v>
      </c>
      <c r="L23" s="8" t="s">
        <v>80</v>
      </c>
      <c r="M23" s="8" t="s">
        <v>207</v>
      </c>
      <c r="N23" s="8" t="s">
        <v>208</v>
      </c>
      <c r="O23" s="10" t="n">
        <f aca="false">COUNTIF(Relations!$A:$A,A23)</f>
        <v>2</v>
      </c>
      <c r="P23" s="10" t="n">
        <f aca="false">COUNTIF(Relations!$D:$D,A23)</f>
        <v>2</v>
      </c>
    </row>
    <row r="24" customFormat="false" ht="24" hidden="false" customHeight="false" outlineLevel="0" collapsed="false">
      <c r="A24" s="8" t="s">
        <v>209</v>
      </c>
      <c r="B24" s="8" t="s">
        <v>210</v>
      </c>
      <c r="C24" s="8" t="s">
        <v>197</v>
      </c>
      <c r="D24" s="9" t="s">
        <v>30</v>
      </c>
      <c r="E24" s="9" t="s">
        <v>36</v>
      </c>
      <c r="F24" s="8" t="s">
        <v>92</v>
      </c>
      <c r="G24" s="8" t="s">
        <v>211</v>
      </c>
      <c r="H24" s="8" t="s">
        <v>212</v>
      </c>
      <c r="I24" s="8" t="s">
        <v>63</v>
      </c>
      <c r="J24" s="8" t="s">
        <v>63</v>
      </c>
      <c r="K24" s="8" t="s">
        <v>63</v>
      </c>
      <c r="L24" s="8" t="s">
        <v>64</v>
      </c>
      <c r="M24" s="8" t="s">
        <v>213</v>
      </c>
      <c r="N24" s="8" t="s">
        <v>214</v>
      </c>
      <c r="O24" s="10" t="n">
        <f aca="false">COUNTIF(Relations!$A:$A,A24)</f>
        <v>6</v>
      </c>
      <c r="P24" s="10" t="n">
        <f aca="false">COUNTIF(Relations!$D:$D,A24)</f>
        <v>1</v>
      </c>
    </row>
    <row r="25" customFormat="false" ht="24" hidden="false" customHeight="false" outlineLevel="0" collapsed="false">
      <c r="A25" s="8" t="s">
        <v>215</v>
      </c>
      <c r="B25" s="8" t="s">
        <v>216</v>
      </c>
      <c r="C25" s="8" t="s">
        <v>197</v>
      </c>
      <c r="D25" s="9" t="s">
        <v>30</v>
      </c>
      <c r="E25" s="9" t="s">
        <v>35</v>
      </c>
      <c r="F25" s="8" t="s">
        <v>92</v>
      </c>
      <c r="G25" s="8" t="s">
        <v>217</v>
      </c>
      <c r="H25" s="8" t="s">
        <v>218</v>
      </c>
      <c r="I25" s="8" t="s">
        <v>63</v>
      </c>
      <c r="J25" s="8" t="s">
        <v>63</v>
      </c>
      <c r="K25" s="8" t="s">
        <v>63</v>
      </c>
      <c r="L25" s="8" t="s">
        <v>64</v>
      </c>
      <c r="M25" s="8" t="s">
        <v>124</v>
      </c>
      <c r="N25" s="8"/>
      <c r="O25" s="10" t="n">
        <f aca="false">COUNTIF(Relations!$A:$A,A25)</f>
        <v>0</v>
      </c>
      <c r="P25" s="10" t="n">
        <f aca="false">COUNTIF(Relations!$D:$D,A25)</f>
        <v>2</v>
      </c>
    </row>
    <row r="26" customFormat="false" ht="24" hidden="false" customHeight="false" outlineLevel="0" collapsed="false">
      <c r="A26" s="8" t="s">
        <v>219</v>
      </c>
      <c r="B26" s="8" t="s">
        <v>220</v>
      </c>
      <c r="C26" s="8" t="s">
        <v>197</v>
      </c>
      <c r="D26" s="9" t="s">
        <v>30</v>
      </c>
      <c r="E26" s="9" t="s">
        <v>36</v>
      </c>
      <c r="F26" s="8" t="s">
        <v>92</v>
      </c>
      <c r="G26" s="8" t="s">
        <v>221</v>
      </c>
      <c r="H26" s="8" t="s">
        <v>222</v>
      </c>
      <c r="I26" s="8" t="s">
        <v>223</v>
      </c>
      <c r="J26" s="8" t="s">
        <v>63</v>
      </c>
      <c r="K26" s="8" t="s">
        <v>63</v>
      </c>
      <c r="L26" s="8" t="s">
        <v>80</v>
      </c>
      <c r="M26" s="8" t="s">
        <v>165</v>
      </c>
      <c r="N26" s="8" t="s">
        <v>224</v>
      </c>
      <c r="O26" s="10" t="n">
        <f aca="false">COUNTIF(Relations!$A:$A,A26)</f>
        <v>2</v>
      </c>
      <c r="P26" s="10" t="n">
        <f aca="false">COUNTIF(Relations!$D:$D,A26)</f>
        <v>1</v>
      </c>
    </row>
    <row r="27" customFormat="false" ht="24" hidden="false" customHeight="false" outlineLevel="0" collapsed="false">
      <c r="A27" s="8" t="s">
        <v>225</v>
      </c>
      <c r="B27" s="8" t="s">
        <v>226</v>
      </c>
      <c r="C27" s="8" t="s">
        <v>197</v>
      </c>
      <c r="D27" s="9" t="s">
        <v>30</v>
      </c>
      <c r="E27" s="9" t="s">
        <v>37</v>
      </c>
      <c r="F27" s="8" t="s">
        <v>92</v>
      </c>
      <c r="G27" s="8" t="s">
        <v>227</v>
      </c>
      <c r="H27" s="8" t="s">
        <v>228</v>
      </c>
      <c r="I27" s="8" t="s">
        <v>63</v>
      </c>
      <c r="J27" s="8" t="s">
        <v>63</v>
      </c>
      <c r="K27" s="8" t="s">
        <v>63</v>
      </c>
      <c r="L27" s="8" t="s">
        <v>64</v>
      </c>
      <c r="M27" s="8" t="s">
        <v>229</v>
      </c>
      <c r="N27" s="8"/>
      <c r="O27" s="10" t="n">
        <f aca="false">COUNTIF(Relations!$A:$A,A27)</f>
        <v>1</v>
      </c>
      <c r="P27" s="10" t="n">
        <f aca="false">COUNTIF(Relations!$D:$D,A27)</f>
        <v>0</v>
      </c>
    </row>
    <row r="28" customFormat="false" ht="24" hidden="false" customHeight="false" outlineLevel="0" collapsed="false">
      <c r="A28" s="8" t="s">
        <v>230</v>
      </c>
      <c r="B28" s="8" t="s">
        <v>231</v>
      </c>
      <c r="C28" s="8" t="s">
        <v>197</v>
      </c>
      <c r="D28" s="9" t="s">
        <v>30</v>
      </c>
      <c r="E28" s="9" t="s">
        <v>36</v>
      </c>
      <c r="F28" s="8" t="s">
        <v>92</v>
      </c>
      <c r="G28" s="8" t="s">
        <v>232</v>
      </c>
      <c r="H28" s="8" t="s">
        <v>233</v>
      </c>
      <c r="I28" s="8" t="s">
        <v>234</v>
      </c>
      <c r="J28" s="8" t="s">
        <v>63</v>
      </c>
      <c r="K28" s="8" t="s">
        <v>63</v>
      </c>
      <c r="L28" s="8" t="s">
        <v>80</v>
      </c>
      <c r="M28" s="8" t="s">
        <v>165</v>
      </c>
      <c r="N28" s="8" t="s">
        <v>235</v>
      </c>
      <c r="O28" s="10" t="n">
        <f aca="false">COUNTIF(Relations!$A:$A,A28)</f>
        <v>1</v>
      </c>
      <c r="P28" s="10" t="n">
        <f aca="false">COUNTIF(Relations!$D:$D,A28)</f>
        <v>2</v>
      </c>
    </row>
    <row r="29" customFormat="false" ht="35" hidden="false" customHeight="false" outlineLevel="0" collapsed="false">
      <c r="A29" s="8" t="s">
        <v>236</v>
      </c>
      <c r="B29" s="8" t="s">
        <v>237</v>
      </c>
      <c r="C29" s="8" t="s">
        <v>238</v>
      </c>
      <c r="D29" s="9" t="s">
        <v>30</v>
      </c>
      <c r="E29" s="9" t="s">
        <v>37</v>
      </c>
      <c r="F29" s="8" t="s">
        <v>239</v>
      </c>
      <c r="G29" s="8" t="s">
        <v>240</v>
      </c>
      <c r="H29" s="8" t="s">
        <v>241</v>
      </c>
      <c r="I29" s="8" t="s">
        <v>242</v>
      </c>
      <c r="J29" s="8" t="s">
        <v>63</v>
      </c>
      <c r="K29" s="8" t="s">
        <v>63</v>
      </c>
      <c r="L29" s="8" t="s">
        <v>64</v>
      </c>
      <c r="M29" s="8" t="s">
        <v>243</v>
      </c>
      <c r="N29" s="8" t="s">
        <v>244</v>
      </c>
      <c r="O29" s="10" t="n">
        <f aca="false">COUNTIF(Relations!$A:$A,A29)</f>
        <v>2</v>
      </c>
      <c r="P29" s="10" t="n">
        <f aca="false">COUNTIF(Relations!$D:$D,A29)</f>
        <v>1</v>
      </c>
    </row>
    <row r="30" customFormat="false" ht="24" hidden="false" customHeight="false" outlineLevel="0" collapsed="false">
      <c r="A30" s="8" t="s">
        <v>245</v>
      </c>
      <c r="B30" s="8" t="s">
        <v>246</v>
      </c>
      <c r="C30" s="8" t="s">
        <v>238</v>
      </c>
      <c r="D30" s="9" t="s">
        <v>30</v>
      </c>
      <c r="E30" s="9" t="s">
        <v>37</v>
      </c>
      <c r="F30" s="8" t="s">
        <v>247</v>
      </c>
      <c r="G30" s="8" t="s">
        <v>248</v>
      </c>
      <c r="H30" s="8" t="s">
        <v>249</v>
      </c>
      <c r="I30" s="8" t="s">
        <v>250</v>
      </c>
      <c r="J30" s="8" t="s">
        <v>63</v>
      </c>
      <c r="K30" s="8" t="s">
        <v>63</v>
      </c>
      <c r="L30" s="8" t="s">
        <v>64</v>
      </c>
      <c r="M30" s="8" t="s">
        <v>251</v>
      </c>
      <c r="N30" s="8" t="s">
        <v>252</v>
      </c>
      <c r="O30" s="10" t="n">
        <f aca="false">COUNTIF(Relations!$A:$A,A30)</f>
        <v>4</v>
      </c>
      <c r="P30" s="10" t="n">
        <f aca="false">COUNTIF(Relations!$D:$D,A30)</f>
        <v>2</v>
      </c>
    </row>
    <row r="31" customFormat="false" ht="15" hidden="false" customHeight="false" outlineLevel="0" collapsed="false">
      <c r="A31" s="8" t="s">
        <v>253</v>
      </c>
      <c r="B31" s="8" t="s">
        <v>254</v>
      </c>
      <c r="C31" s="8" t="s">
        <v>238</v>
      </c>
      <c r="D31" s="9" t="s">
        <v>30</v>
      </c>
      <c r="E31" s="9" t="s">
        <v>37</v>
      </c>
      <c r="F31" s="8" t="s">
        <v>255</v>
      </c>
      <c r="G31" s="8" t="s">
        <v>256</v>
      </c>
      <c r="H31" s="8" t="s">
        <v>257</v>
      </c>
      <c r="I31" s="8" t="s">
        <v>258</v>
      </c>
      <c r="J31" s="8" t="s">
        <v>63</v>
      </c>
      <c r="K31" s="8" t="s">
        <v>63</v>
      </c>
      <c r="L31" s="8" t="s">
        <v>64</v>
      </c>
      <c r="M31" s="8" t="s">
        <v>259</v>
      </c>
      <c r="N31" s="8" t="s">
        <v>260</v>
      </c>
      <c r="O31" s="10" t="n">
        <f aca="false">COUNTIF(Relations!$A:$A,A31)</f>
        <v>1</v>
      </c>
      <c r="P31" s="10" t="n">
        <f aca="false">COUNTIF(Relations!$D:$D,A31)</f>
        <v>1</v>
      </c>
    </row>
    <row r="32" customFormat="false" ht="24" hidden="false" customHeight="false" outlineLevel="0" collapsed="false">
      <c r="A32" s="8" t="s">
        <v>261</v>
      </c>
      <c r="B32" s="8" t="s">
        <v>262</v>
      </c>
      <c r="C32" s="8" t="s">
        <v>238</v>
      </c>
      <c r="D32" s="9" t="s">
        <v>30</v>
      </c>
      <c r="E32" s="9" t="s">
        <v>37</v>
      </c>
      <c r="F32" s="8" t="s">
        <v>255</v>
      </c>
      <c r="G32" s="8" t="s">
        <v>263</v>
      </c>
      <c r="H32" s="8" t="s">
        <v>264</v>
      </c>
      <c r="I32" s="8" t="s">
        <v>265</v>
      </c>
      <c r="J32" s="8" t="s">
        <v>63</v>
      </c>
      <c r="K32" s="8" t="s">
        <v>63</v>
      </c>
      <c r="L32" s="8" t="s">
        <v>64</v>
      </c>
      <c r="M32" s="8" t="s">
        <v>266</v>
      </c>
      <c r="N32" s="8"/>
      <c r="O32" s="10" t="n">
        <f aca="false">COUNTIF(Relations!$A:$A,A32)</f>
        <v>0</v>
      </c>
      <c r="P32" s="10" t="n">
        <f aca="false">COUNTIF(Relations!$D:$D,A32)</f>
        <v>2</v>
      </c>
    </row>
    <row r="33" customFormat="false" ht="15" hidden="false" customHeight="false" outlineLevel="0" collapsed="false">
      <c r="A33" s="8" t="s">
        <v>267</v>
      </c>
      <c r="B33" s="8" t="s">
        <v>268</v>
      </c>
      <c r="C33" s="8" t="s">
        <v>238</v>
      </c>
      <c r="D33" s="9" t="s">
        <v>30</v>
      </c>
      <c r="E33" s="9" t="s">
        <v>37</v>
      </c>
      <c r="F33" s="8" t="s">
        <v>255</v>
      </c>
      <c r="G33" s="8" t="s">
        <v>269</v>
      </c>
      <c r="H33" s="8" t="s">
        <v>270</v>
      </c>
      <c r="I33" s="8" t="s">
        <v>271</v>
      </c>
      <c r="J33" s="8" t="s">
        <v>63</v>
      </c>
      <c r="K33" s="8" t="s">
        <v>63</v>
      </c>
      <c r="L33" s="8" t="s">
        <v>64</v>
      </c>
      <c r="M33" s="8" t="s">
        <v>272</v>
      </c>
      <c r="N33" s="8"/>
      <c r="O33" s="10" t="n">
        <f aca="false">COUNTIF(Relations!$A:$A,A33)</f>
        <v>0</v>
      </c>
      <c r="P33" s="10" t="n">
        <f aca="false">COUNTIF(Relations!$D:$D,A33)</f>
        <v>2</v>
      </c>
    </row>
    <row r="34" customFormat="false" ht="35" hidden="false" customHeight="false" outlineLevel="0" collapsed="false">
      <c r="A34" s="8" t="s">
        <v>273</v>
      </c>
      <c r="B34" s="8" t="s">
        <v>274</v>
      </c>
      <c r="C34" s="8" t="s">
        <v>275</v>
      </c>
      <c r="D34" s="9" t="s">
        <v>30</v>
      </c>
      <c r="E34" s="9" t="s">
        <v>36</v>
      </c>
      <c r="F34" s="8" t="s">
        <v>276</v>
      </c>
      <c r="G34" s="8" t="s">
        <v>277</v>
      </c>
      <c r="H34" s="8" t="s">
        <v>278</v>
      </c>
      <c r="I34" s="8" t="s">
        <v>279</v>
      </c>
      <c r="J34" s="8" t="s">
        <v>63</v>
      </c>
      <c r="K34" s="8" t="s">
        <v>63</v>
      </c>
      <c r="L34" s="8" t="s">
        <v>80</v>
      </c>
      <c r="M34" s="8" t="s">
        <v>280</v>
      </c>
      <c r="N34" s="8" t="s">
        <v>281</v>
      </c>
      <c r="O34" s="10" t="n">
        <f aca="false">COUNTIF(Relations!$A:$A,A34)</f>
        <v>3</v>
      </c>
      <c r="P34" s="10" t="n">
        <f aca="false">COUNTIF(Relations!$D:$D,A34)</f>
        <v>1</v>
      </c>
    </row>
    <row r="35" customFormat="false" ht="24" hidden="false" customHeight="false" outlineLevel="0" collapsed="false">
      <c r="A35" s="8" t="s">
        <v>282</v>
      </c>
      <c r="B35" s="8" t="s">
        <v>283</v>
      </c>
      <c r="C35" s="8" t="s">
        <v>275</v>
      </c>
      <c r="D35" s="9" t="s">
        <v>30</v>
      </c>
      <c r="E35" s="9" t="s">
        <v>35</v>
      </c>
      <c r="F35" s="8" t="s">
        <v>92</v>
      </c>
      <c r="G35" s="8" t="s">
        <v>284</v>
      </c>
      <c r="H35" s="8" t="s">
        <v>285</v>
      </c>
      <c r="I35" s="8" t="s">
        <v>63</v>
      </c>
      <c r="J35" s="8" t="s">
        <v>63</v>
      </c>
      <c r="K35" s="8" t="s">
        <v>63</v>
      </c>
      <c r="L35" s="8" t="s">
        <v>80</v>
      </c>
      <c r="M35" s="8" t="s">
        <v>138</v>
      </c>
      <c r="N35" s="8" t="s">
        <v>286</v>
      </c>
      <c r="O35" s="10" t="n">
        <f aca="false">COUNTIF(Relations!$A:$A,A35)</f>
        <v>1</v>
      </c>
      <c r="P35" s="10" t="n">
        <f aca="false">COUNTIF(Relations!$D:$D,A35)</f>
        <v>0</v>
      </c>
    </row>
    <row r="36" customFormat="false" ht="24" hidden="false" customHeight="false" outlineLevel="0" collapsed="false">
      <c r="A36" s="8" t="s">
        <v>287</v>
      </c>
      <c r="B36" s="8" t="s">
        <v>288</v>
      </c>
      <c r="C36" s="8" t="s">
        <v>275</v>
      </c>
      <c r="D36" s="9" t="s">
        <v>30</v>
      </c>
      <c r="E36" s="9" t="s">
        <v>35</v>
      </c>
      <c r="F36" s="8" t="s">
        <v>289</v>
      </c>
      <c r="G36" s="8" t="s">
        <v>277</v>
      </c>
      <c r="H36" s="8" t="s">
        <v>290</v>
      </c>
      <c r="I36" s="8" t="s">
        <v>63</v>
      </c>
      <c r="J36" s="8" t="s">
        <v>63</v>
      </c>
      <c r="K36" s="8" t="s">
        <v>63</v>
      </c>
      <c r="L36" s="8" t="s">
        <v>88</v>
      </c>
      <c r="M36" s="8" t="s">
        <v>291</v>
      </c>
      <c r="N36" s="8" t="s">
        <v>292</v>
      </c>
      <c r="O36" s="10" t="n">
        <f aca="false">COUNTIF(Relations!$A:$A,A36)</f>
        <v>1</v>
      </c>
      <c r="P36" s="10" t="n">
        <f aca="false">COUNTIF(Relations!$D:$D,A36)</f>
        <v>0</v>
      </c>
    </row>
    <row r="37" customFormat="false" ht="24" hidden="false" customHeight="false" outlineLevel="0" collapsed="false">
      <c r="A37" s="8" t="s">
        <v>293</v>
      </c>
      <c r="B37" s="8" t="s">
        <v>294</v>
      </c>
      <c r="C37" s="8" t="s">
        <v>295</v>
      </c>
      <c r="D37" s="9" t="s">
        <v>31</v>
      </c>
      <c r="E37" s="9" t="s">
        <v>36</v>
      </c>
      <c r="F37" s="8" t="s">
        <v>63</v>
      </c>
      <c r="G37" s="8" t="s">
        <v>296</v>
      </c>
      <c r="H37" s="8" t="s">
        <v>297</v>
      </c>
      <c r="I37" s="8" t="s">
        <v>63</v>
      </c>
      <c r="J37" s="8" t="s">
        <v>63</v>
      </c>
      <c r="K37" s="8" t="s">
        <v>63</v>
      </c>
      <c r="L37" s="8" t="s">
        <v>88</v>
      </c>
      <c r="M37" s="8" t="s">
        <v>298</v>
      </c>
      <c r="N37" s="8" t="s">
        <v>299</v>
      </c>
      <c r="O37" s="10" t="n">
        <f aca="false">COUNTIF(Relations!$A:$A,A37)</f>
        <v>2</v>
      </c>
      <c r="P37" s="10" t="n">
        <f aca="false">COUNTIF(Relations!$D:$D,A37)</f>
        <v>0</v>
      </c>
    </row>
    <row r="38" customFormat="false" ht="46" hidden="false" customHeight="false" outlineLevel="0" collapsed="false">
      <c r="A38" s="11" t="s">
        <v>300</v>
      </c>
      <c r="B38" s="11" t="s">
        <v>301</v>
      </c>
      <c r="C38" s="11" t="s">
        <v>302</v>
      </c>
      <c r="D38" s="12" t="s">
        <v>31</v>
      </c>
      <c r="E38" s="12" t="s">
        <v>37</v>
      </c>
      <c r="F38" s="11" t="s">
        <v>303</v>
      </c>
      <c r="G38" s="11" t="s">
        <v>304</v>
      </c>
      <c r="H38" s="11" t="s">
        <v>305</v>
      </c>
      <c r="I38" s="11" t="s">
        <v>306</v>
      </c>
      <c r="J38" s="11" t="s">
        <v>307</v>
      </c>
      <c r="K38" s="11" t="s">
        <v>308</v>
      </c>
      <c r="L38" s="11" t="s">
        <v>309</v>
      </c>
      <c r="M38" s="11" t="s">
        <v>310</v>
      </c>
      <c r="N38" s="11" t="s">
        <v>311</v>
      </c>
      <c r="O38" s="10" t="n">
        <f aca="false">COUNTIF(Relations!$A:$A,A38)</f>
        <v>5</v>
      </c>
      <c r="P38" s="10" t="n">
        <f aca="false">COUNTIF(Relations!$D:$D,A38)</f>
        <v>3</v>
      </c>
    </row>
    <row r="39" customFormat="false" ht="57" hidden="false" customHeight="false" outlineLevel="0" collapsed="false">
      <c r="A39" s="11" t="s">
        <v>312</v>
      </c>
      <c r="B39" s="11" t="s">
        <v>313</v>
      </c>
      <c r="C39" s="11" t="s">
        <v>302</v>
      </c>
      <c r="D39" s="12" t="s">
        <v>31</v>
      </c>
      <c r="E39" s="12" t="s">
        <v>37</v>
      </c>
      <c r="F39" s="11" t="s">
        <v>276</v>
      </c>
      <c r="G39" s="11" t="s">
        <v>314</v>
      </c>
      <c r="H39" s="11" t="s">
        <v>315</v>
      </c>
      <c r="I39" s="11" t="s">
        <v>316</v>
      </c>
      <c r="J39" s="11" t="s">
        <v>63</v>
      </c>
      <c r="K39" s="11" t="s">
        <v>317</v>
      </c>
      <c r="L39" s="11" t="s">
        <v>309</v>
      </c>
      <c r="M39" s="11" t="s">
        <v>318</v>
      </c>
      <c r="N39" s="11" t="s">
        <v>319</v>
      </c>
      <c r="O39" s="10" t="n">
        <f aca="false">COUNTIF(Relations!$A:$A,A39)</f>
        <v>2</v>
      </c>
      <c r="P39" s="10" t="n">
        <f aca="false">COUNTIF(Relations!$D:$D,A39)</f>
        <v>6</v>
      </c>
    </row>
    <row r="40" customFormat="false" ht="35" hidden="false" customHeight="false" outlineLevel="0" collapsed="false">
      <c r="A40" s="11" t="s">
        <v>320</v>
      </c>
      <c r="B40" s="11" t="s">
        <v>321</v>
      </c>
      <c r="C40" s="11" t="s">
        <v>302</v>
      </c>
      <c r="D40" s="12" t="s">
        <v>31</v>
      </c>
      <c r="E40" s="12" t="s">
        <v>37</v>
      </c>
      <c r="F40" s="11" t="s">
        <v>276</v>
      </c>
      <c r="G40" s="11" t="s">
        <v>314</v>
      </c>
      <c r="H40" s="11" t="s">
        <v>322</v>
      </c>
      <c r="I40" s="11" t="s">
        <v>323</v>
      </c>
      <c r="J40" s="11" t="s">
        <v>324</v>
      </c>
      <c r="K40" s="11" t="s">
        <v>325</v>
      </c>
      <c r="L40" s="11" t="s">
        <v>309</v>
      </c>
      <c r="M40" s="11" t="s">
        <v>318</v>
      </c>
      <c r="N40" s="11"/>
      <c r="O40" s="10" t="n">
        <f aca="false">COUNTIF(Relations!$A:$A,A40)</f>
        <v>1</v>
      </c>
      <c r="P40" s="10" t="n">
        <f aca="false">COUNTIF(Relations!$D:$D,A40)</f>
        <v>2</v>
      </c>
    </row>
    <row r="41" customFormat="false" ht="46" hidden="false" customHeight="false" outlineLevel="0" collapsed="false">
      <c r="A41" s="11" t="s">
        <v>326</v>
      </c>
      <c r="B41" s="11" t="s">
        <v>327</v>
      </c>
      <c r="C41" s="11" t="s">
        <v>302</v>
      </c>
      <c r="D41" s="12" t="s">
        <v>31</v>
      </c>
      <c r="E41" s="12" t="s">
        <v>37</v>
      </c>
      <c r="F41" s="11" t="s">
        <v>303</v>
      </c>
      <c r="G41" s="11" t="s">
        <v>328</v>
      </c>
      <c r="H41" s="11" t="s">
        <v>329</v>
      </c>
      <c r="I41" s="11" t="s">
        <v>63</v>
      </c>
      <c r="J41" s="11" t="s">
        <v>63</v>
      </c>
      <c r="K41" s="11" t="s">
        <v>63</v>
      </c>
      <c r="L41" s="11" t="s">
        <v>309</v>
      </c>
      <c r="M41" s="11" t="s">
        <v>330</v>
      </c>
      <c r="N41" s="11" t="s">
        <v>331</v>
      </c>
      <c r="O41" s="10" t="n">
        <f aca="false">COUNTIF(Relations!$A:$A,A41)</f>
        <v>1</v>
      </c>
      <c r="P41" s="10" t="n">
        <f aca="false">COUNTIF(Relations!$D:$D,A41)</f>
        <v>1</v>
      </c>
    </row>
    <row r="42" customFormat="false" ht="35" hidden="false" customHeight="false" outlineLevel="0" collapsed="false">
      <c r="A42" s="11" t="s">
        <v>332</v>
      </c>
      <c r="B42" s="11" t="s">
        <v>333</v>
      </c>
      <c r="C42" s="11" t="s">
        <v>302</v>
      </c>
      <c r="D42" s="12" t="s">
        <v>31</v>
      </c>
      <c r="E42" s="12" t="s">
        <v>37</v>
      </c>
      <c r="F42" s="11" t="s">
        <v>303</v>
      </c>
      <c r="G42" s="11" t="s">
        <v>328</v>
      </c>
      <c r="H42" s="11" t="s">
        <v>334</v>
      </c>
      <c r="I42" s="11" t="s">
        <v>335</v>
      </c>
      <c r="J42" s="11" t="s">
        <v>336</v>
      </c>
      <c r="K42" s="11" t="s">
        <v>337</v>
      </c>
      <c r="L42" s="11" t="s">
        <v>309</v>
      </c>
      <c r="M42" s="11" t="s">
        <v>338</v>
      </c>
      <c r="N42" s="11" t="s">
        <v>339</v>
      </c>
      <c r="O42" s="10" t="n">
        <f aca="false">COUNTIF(Relations!$A:$A,A42)</f>
        <v>2</v>
      </c>
      <c r="P42" s="10" t="n">
        <f aca="false">COUNTIF(Relations!$D:$D,A42)</f>
        <v>2</v>
      </c>
    </row>
    <row r="43" customFormat="false" ht="35" hidden="false" customHeight="false" outlineLevel="0" collapsed="false">
      <c r="A43" s="11" t="s">
        <v>340</v>
      </c>
      <c r="B43" s="11" t="s">
        <v>341</v>
      </c>
      <c r="C43" s="11" t="s">
        <v>302</v>
      </c>
      <c r="D43" s="12" t="s">
        <v>31</v>
      </c>
      <c r="E43" s="12" t="s">
        <v>37</v>
      </c>
      <c r="F43" s="11" t="s">
        <v>276</v>
      </c>
      <c r="G43" s="11" t="s">
        <v>342</v>
      </c>
      <c r="H43" s="11" t="s">
        <v>343</v>
      </c>
      <c r="I43" s="11" t="s">
        <v>344</v>
      </c>
      <c r="J43" s="11" t="s">
        <v>63</v>
      </c>
      <c r="K43" s="11" t="s">
        <v>63</v>
      </c>
      <c r="L43" s="11" t="s">
        <v>309</v>
      </c>
      <c r="M43" s="11" t="s">
        <v>338</v>
      </c>
      <c r="N43" s="11" t="s">
        <v>345</v>
      </c>
      <c r="O43" s="10" t="n">
        <f aca="false">COUNTIF(Relations!$A:$A,A43)</f>
        <v>1</v>
      </c>
      <c r="P43" s="10" t="n">
        <f aca="false">COUNTIF(Relations!$D:$D,A43)</f>
        <v>2</v>
      </c>
    </row>
    <row r="44" customFormat="false" ht="35" hidden="false" customHeight="false" outlineLevel="0" collapsed="false">
      <c r="A44" s="11" t="s">
        <v>346</v>
      </c>
      <c r="B44" s="11" t="s">
        <v>347</v>
      </c>
      <c r="C44" s="11" t="s">
        <v>348</v>
      </c>
      <c r="D44" s="12" t="s">
        <v>31</v>
      </c>
      <c r="E44" s="12" t="s">
        <v>37</v>
      </c>
      <c r="F44" s="11" t="s">
        <v>92</v>
      </c>
      <c r="G44" s="11" t="s">
        <v>349</v>
      </c>
      <c r="H44" s="11" t="s">
        <v>350</v>
      </c>
      <c r="I44" s="11" t="s">
        <v>351</v>
      </c>
      <c r="J44" s="11" t="s">
        <v>352</v>
      </c>
      <c r="K44" s="11" t="s">
        <v>63</v>
      </c>
      <c r="L44" s="11" t="s">
        <v>309</v>
      </c>
      <c r="M44" s="11" t="s">
        <v>318</v>
      </c>
      <c r="N44" s="11" t="s">
        <v>353</v>
      </c>
      <c r="O44" s="10" t="n">
        <f aca="false">COUNTIF(Relations!$A:$A,A44)</f>
        <v>3</v>
      </c>
      <c r="P44" s="10" t="n">
        <f aca="false">COUNTIF(Relations!$D:$D,A44)</f>
        <v>1</v>
      </c>
    </row>
    <row r="45" customFormat="false" ht="46" hidden="false" customHeight="false" outlineLevel="0" collapsed="false">
      <c r="A45" s="11" t="s">
        <v>354</v>
      </c>
      <c r="B45" s="11" t="s">
        <v>348</v>
      </c>
      <c r="C45" s="11" t="s">
        <v>348</v>
      </c>
      <c r="D45" s="12" t="s">
        <v>31</v>
      </c>
      <c r="E45" s="12" t="s">
        <v>37</v>
      </c>
      <c r="F45" s="11" t="s">
        <v>92</v>
      </c>
      <c r="G45" s="11" t="s">
        <v>355</v>
      </c>
      <c r="H45" s="11" t="s">
        <v>356</v>
      </c>
      <c r="I45" s="11" t="s">
        <v>357</v>
      </c>
      <c r="J45" s="11" t="s">
        <v>358</v>
      </c>
      <c r="K45" s="11" t="s">
        <v>359</v>
      </c>
      <c r="L45" s="11" t="s">
        <v>309</v>
      </c>
      <c r="M45" s="11" t="s">
        <v>360</v>
      </c>
      <c r="N45" s="11" t="s">
        <v>361</v>
      </c>
      <c r="O45" s="10" t="n">
        <f aca="false">COUNTIF(Relations!$A:$A,A45)</f>
        <v>4</v>
      </c>
      <c r="P45" s="10" t="n">
        <f aca="false">COUNTIF(Relations!$D:$D,A45)</f>
        <v>6</v>
      </c>
    </row>
    <row r="46" customFormat="false" ht="24" hidden="false" customHeight="false" outlineLevel="0" collapsed="false">
      <c r="A46" s="11" t="s">
        <v>362</v>
      </c>
      <c r="B46" s="11" t="s">
        <v>363</v>
      </c>
      <c r="C46" s="11" t="s">
        <v>348</v>
      </c>
      <c r="D46" s="12" t="s">
        <v>31</v>
      </c>
      <c r="E46" s="12" t="s">
        <v>37</v>
      </c>
      <c r="F46" s="11" t="s">
        <v>92</v>
      </c>
      <c r="G46" s="11" t="s">
        <v>355</v>
      </c>
      <c r="H46" s="11" t="s">
        <v>364</v>
      </c>
      <c r="I46" s="11" t="s">
        <v>63</v>
      </c>
      <c r="J46" s="11" t="s">
        <v>365</v>
      </c>
      <c r="K46" s="11" t="s">
        <v>63</v>
      </c>
      <c r="L46" s="11" t="s">
        <v>309</v>
      </c>
      <c r="M46" s="11" t="s">
        <v>366</v>
      </c>
      <c r="N46" s="11" t="s">
        <v>367</v>
      </c>
      <c r="O46" s="10" t="n">
        <f aca="false">COUNTIF(Relations!$A:$A,A46)</f>
        <v>1</v>
      </c>
      <c r="P46" s="10" t="n">
        <f aca="false">COUNTIF(Relations!$D:$D,A46)</f>
        <v>4</v>
      </c>
    </row>
    <row r="47" customFormat="false" ht="35" hidden="false" customHeight="false" outlineLevel="0" collapsed="false">
      <c r="A47" s="11" t="s">
        <v>368</v>
      </c>
      <c r="B47" s="11" t="s">
        <v>369</v>
      </c>
      <c r="C47" s="11" t="s">
        <v>348</v>
      </c>
      <c r="D47" s="12" t="s">
        <v>31</v>
      </c>
      <c r="E47" s="12" t="s">
        <v>37</v>
      </c>
      <c r="F47" s="11" t="s">
        <v>239</v>
      </c>
      <c r="G47" s="11" t="s">
        <v>370</v>
      </c>
      <c r="H47" s="11" t="s">
        <v>371</v>
      </c>
      <c r="I47" s="11" t="s">
        <v>372</v>
      </c>
      <c r="J47" s="11" t="s">
        <v>63</v>
      </c>
      <c r="K47" s="11" t="s">
        <v>63</v>
      </c>
      <c r="L47" s="11" t="s">
        <v>309</v>
      </c>
      <c r="M47" s="11" t="s">
        <v>330</v>
      </c>
      <c r="N47" s="11" t="s">
        <v>373</v>
      </c>
      <c r="O47" s="10" t="n">
        <f aca="false">COUNTIF(Relations!$A:$A,A47)</f>
        <v>3</v>
      </c>
      <c r="P47" s="10" t="n">
        <f aca="false">COUNTIF(Relations!$D:$D,A47)</f>
        <v>2</v>
      </c>
    </row>
    <row r="48" customFormat="false" ht="24" hidden="false" customHeight="false" outlineLevel="0" collapsed="false">
      <c r="A48" s="11" t="s">
        <v>374</v>
      </c>
      <c r="B48" s="11" t="s">
        <v>375</v>
      </c>
      <c r="C48" s="11" t="s">
        <v>348</v>
      </c>
      <c r="D48" s="12" t="s">
        <v>31</v>
      </c>
      <c r="E48" s="12" t="s">
        <v>37</v>
      </c>
      <c r="F48" s="11" t="s">
        <v>92</v>
      </c>
      <c r="G48" s="11" t="s">
        <v>355</v>
      </c>
      <c r="H48" s="11" t="s">
        <v>376</v>
      </c>
      <c r="I48" s="11" t="s">
        <v>63</v>
      </c>
      <c r="J48" s="11" t="s">
        <v>377</v>
      </c>
      <c r="K48" s="11" t="s">
        <v>63</v>
      </c>
      <c r="L48" s="11" t="s">
        <v>309</v>
      </c>
      <c r="M48" s="11" t="s">
        <v>378</v>
      </c>
      <c r="N48" s="11"/>
      <c r="O48" s="10" t="n">
        <f aca="false">COUNTIF(Relations!$A:$A,A48)</f>
        <v>0</v>
      </c>
      <c r="P48" s="10" t="n">
        <f aca="false">COUNTIF(Relations!$D:$D,A48)</f>
        <v>2</v>
      </c>
    </row>
    <row r="49" customFormat="false" ht="46" hidden="false" customHeight="false" outlineLevel="0" collapsed="false">
      <c r="A49" s="11" t="s">
        <v>379</v>
      </c>
      <c r="B49" s="11" t="s">
        <v>380</v>
      </c>
      <c r="C49" s="11" t="s">
        <v>348</v>
      </c>
      <c r="D49" s="12" t="s">
        <v>31</v>
      </c>
      <c r="E49" s="12" t="s">
        <v>37</v>
      </c>
      <c r="F49" s="11" t="s">
        <v>92</v>
      </c>
      <c r="G49" s="11" t="s">
        <v>381</v>
      </c>
      <c r="H49" s="11" t="s">
        <v>382</v>
      </c>
      <c r="I49" s="11" t="s">
        <v>383</v>
      </c>
      <c r="J49" s="11" t="s">
        <v>384</v>
      </c>
      <c r="K49" s="11" t="s">
        <v>385</v>
      </c>
      <c r="L49" s="11" t="s">
        <v>309</v>
      </c>
      <c r="M49" s="11" t="s">
        <v>338</v>
      </c>
      <c r="N49" s="11" t="s">
        <v>386</v>
      </c>
      <c r="O49" s="10" t="n">
        <f aca="false">COUNTIF(Relations!$A:$A,A49)</f>
        <v>4</v>
      </c>
      <c r="P49" s="10" t="n">
        <f aca="false">COUNTIF(Relations!$D:$D,A49)</f>
        <v>4</v>
      </c>
    </row>
    <row r="50" customFormat="false" ht="46" hidden="false" customHeight="false" outlineLevel="0" collapsed="false">
      <c r="A50" s="11" t="s">
        <v>387</v>
      </c>
      <c r="B50" s="11" t="s">
        <v>388</v>
      </c>
      <c r="C50" s="11" t="s">
        <v>348</v>
      </c>
      <c r="D50" s="12" t="s">
        <v>31</v>
      </c>
      <c r="E50" s="12" t="s">
        <v>37</v>
      </c>
      <c r="F50" s="11" t="s">
        <v>92</v>
      </c>
      <c r="G50" s="11" t="s">
        <v>381</v>
      </c>
      <c r="H50" s="11" t="s">
        <v>389</v>
      </c>
      <c r="I50" s="11" t="s">
        <v>390</v>
      </c>
      <c r="J50" s="11" t="s">
        <v>391</v>
      </c>
      <c r="K50" s="11" t="s">
        <v>63</v>
      </c>
      <c r="L50" s="11" t="s">
        <v>309</v>
      </c>
      <c r="M50" s="11" t="s">
        <v>392</v>
      </c>
      <c r="N50" s="11"/>
      <c r="O50" s="10" t="n">
        <f aca="false">COUNTIF(Relations!$A:$A,A50)</f>
        <v>1</v>
      </c>
      <c r="P50" s="10" t="n">
        <f aca="false">COUNTIF(Relations!$D:$D,A50)</f>
        <v>3</v>
      </c>
    </row>
    <row r="51" customFormat="false" ht="35" hidden="false" customHeight="false" outlineLevel="0" collapsed="false">
      <c r="A51" s="11" t="s">
        <v>393</v>
      </c>
      <c r="B51" s="11" t="s">
        <v>394</v>
      </c>
      <c r="C51" s="11" t="s">
        <v>348</v>
      </c>
      <c r="D51" s="12" t="s">
        <v>31</v>
      </c>
      <c r="E51" s="12" t="s">
        <v>37</v>
      </c>
      <c r="F51" s="11" t="s">
        <v>303</v>
      </c>
      <c r="G51" s="11" t="s">
        <v>395</v>
      </c>
      <c r="H51" s="11" t="s">
        <v>396</v>
      </c>
      <c r="I51" s="11" t="s">
        <v>397</v>
      </c>
      <c r="J51" s="11" t="s">
        <v>398</v>
      </c>
      <c r="K51" s="11" t="s">
        <v>399</v>
      </c>
      <c r="L51" s="11" t="s">
        <v>309</v>
      </c>
      <c r="M51" s="11" t="s">
        <v>400</v>
      </c>
      <c r="N51" s="11" t="s">
        <v>401</v>
      </c>
      <c r="O51" s="10" t="n">
        <f aca="false">COUNTIF(Relations!$A:$A,A51)</f>
        <v>2</v>
      </c>
      <c r="P51" s="10" t="n">
        <f aca="false">COUNTIF(Relations!$D:$D,A51)</f>
        <v>5</v>
      </c>
    </row>
    <row r="52" customFormat="false" ht="46" hidden="false" customHeight="false" outlineLevel="0" collapsed="false">
      <c r="A52" s="11" t="s">
        <v>402</v>
      </c>
      <c r="B52" s="11" t="s">
        <v>403</v>
      </c>
      <c r="C52" s="11" t="s">
        <v>348</v>
      </c>
      <c r="D52" s="12" t="s">
        <v>31</v>
      </c>
      <c r="E52" s="12" t="s">
        <v>37</v>
      </c>
      <c r="F52" s="11" t="s">
        <v>276</v>
      </c>
      <c r="G52" s="11" t="s">
        <v>395</v>
      </c>
      <c r="H52" s="11" t="s">
        <v>404</v>
      </c>
      <c r="I52" s="11" t="s">
        <v>405</v>
      </c>
      <c r="J52" s="11" t="s">
        <v>63</v>
      </c>
      <c r="K52" s="11" t="s">
        <v>406</v>
      </c>
      <c r="L52" s="11" t="s">
        <v>309</v>
      </c>
      <c r="M52" s="11" t="s">
        <v>407</v>
      </c>
      <c r="N52" s="11" t="s">
        <v>408</v>
      </c>
      <c r="O52" s="10" t="n">
        <f aca="false">COUNTIF(Relations!$A:$A,A52)</f>
        <v>1</v>
      </c>
      <c r="P52" s="10" t="n">
        <f aca="false">COUNTIF(Relations!$D:$D,A52)</f>
        <v>3</v>
      </c>
    </row>
    <row r="53" customFormat="false" ht="68" hidden="false" customHeight="false" outlineLevel="0" collapsed="false">
      <c r="A53" s="11" t="s">
        <v>409</v>
      </c>
      <c r="B53" s="11" t="s">
        <v>410</v>
      </c>
      <c r="C53" s="11" t="s">
        <v>348</v>
      </c>
      <c r="D53" s="12" t="s">
        <v>31</v>
      </c>
      <c r="E53" s="12" t="s">
        <v>37</v>
      </c>
      <c r="F53" s="11" t="s">
        <v>92</v>
      </c>
      <c r="G53" s="11" t="s">
        <v>411</v>
      </c>
      <c r="H53" s="11" t="s">
        <v>412</v>
      </c>
      <c r="I53" s="11" t="s">
        <v>413</v>
      </c>
      <c r="J53" s="11" t="s">
        <v>414</v>
      </c>
      <c r="K53" s="11" t="s">
        <v>415</v>
      </c>
      <c r="L53" s="11" t="s">
        <v>309</v>
      </c>
      <c r="M53" s="11" t="s">
        <v>416</v>
      </c>
      <c r="N53" s="11" t="s">
        <v>417</v>
      </c>
      <c r="O53" s="10" t="n">
        <f aca="false">COUNTIF(Relations!$A:$A,A53)</f>
        <v>3</v>
      </c>
      <c r="P53" s="10" t="n">
        <f aca="false">COUNTIF(Relations!$D:$D,A53)</f>
        <v>3</v>
      </c>
    </row>
    <row r="54" customFormat="false" ht="24" hidden="false" customHeight="false" outlineLevel="0" collapsed="false">
      <c r="A54" s="11" t="s">
        <v>418</v>
      </c>
      <c r="B54" s="11" t="s">
        <v>419</v>
      </c>
      <c r="C54" s="11" t="s">
        <v>348</v>
      </c>
      <c r="D54" s="12" t="s">
        <v>31</v>
      </c>
      <c r="E54" s="12" t="s">
        <v>37</v>
      </c>
      <c r="F54" s="11" t="s">
        <v>276</v>
      </c>
      <c r="G54" s="11" t="s">
        <v>370</v>
      </c>
      <c r="H54" s="11" t="s">
        <v>420</v>
      </c>
      <c r="I54" s="11" t="s">
        <v>421</v>
      </c>
      <c r="J54" s="11" t="s">
        <v>398</v>
      </c>
      <c r="K54" s="11" t="s">
        <v>422</v>
      </c>
      <c r="L54" s="11" t="s">
        <v>309</v>
      </c>
      <c r="M54" s="11" t="s">
        <v>366</v>
      </c>
      <c r="N54" s="11"/>
      <c r="O54" s="10" t="n">
        <f aca="false">COUNTIF(Relations!$A:$A,A54)</f>
        <v>1</v>
      </c>
      <c r="P54" s="10" t="n">
        <f aca="false">COUNTIF(Relations!$D:$D,A54)</f>
        <v>1</v>
      </c>
    </row>
    <row r="55" customFormat="false" ht="24" hidden="false" customHeight="false" outlineLevel="0" collapsed="false">
      <c r="A55" s="11" t="s">
        <v>423</v>
      </c>
      <c r="B55" s="11" t="s">
        <v>424</v>
      </c>
      <c r="C55" s="11" t="s">
        <v>348</v>
      </c>
      <c r="D55" s="12" t="s">
        <v>31</v>
      </c>
      <c r="E55" s="12" t="s">
        <v>37</v>
      </c>
      <c r="F55" s="11" t="s">
        <v>92</v>
      </c>
      <c r="G55" s="11" t="s">
        <v>395</v>
      </c>
      <c r="H55" s="11" t="s">
        <v>425</v>
      </c>
      <c r="I55" s="11" t="s">
        <v>426</v>
      </c>
      <c r="J55" s="11" t="s">
        <v>427</v>
      </c>
      <c r="K55" s="11" t="s">
        <v>63</v>
      </c>
      <c r="L55" s="11" t="s">
        <v>309</v>
      </c>
      <c r="M55" s="11" t="s">
        <v>366</v>
      </c>
      <c r="N55" s="11" t="s">
        <v>428</v>
      </c>
      <c r="O55" s="10" t="n">
        <f aca="false">COUNTIF(Relations!$A:$A,A55)</f>
        <v>0</v>
      </c>
      <c r="P55" s="10" t="n">
        <f aca="false">COUNTIF(Relations!$D:$D,A55)</f>
        <v>1</v>
      </c>
    </row>
    <row r="56" customFormat="false" ht="46" hidden="false" customHeight="false" outlineLevel="0" collapsed="false">
      <c r="A56" s="11" t="s">
        <v>429</v>
      </c>
      <c r="B56" s="11" t="s">
        <v>430</v>
      </c>
      <c r="C56" s="11" t="s">
        <v>348</v>
      </c>
      <c r="D56" s="12" t="s">
        <v>31</v>
      </c>
      <c r="E56" s="12" t="s">
        <v>37</v>
      </c>
      <c r="F56" s="11" t="s">
        <v>247</v>
      </c>
      <c r="G56" s="11" t="s">
        <v>431</v>
      </c>
      <c r="H56" s="11" t="s">
        <v>432</v>
      </c>
      <c r="I56" s="11" t="s">
        <v>250</v>
      </c>
      <c r="J56" s="11" t="s">
        <v>63</v>
      </c>
      <c r="K56" s="11" t="s">
        <v>63</v>
      </c>
      <c r="L56" s="11" t="s">
        <v>309</v>
      </c>
      <c r="M56" s="11" t="s">
        <v>366</v>
      </c>
      <c r="N56" s="11" t="s">
        <v>433</v>
      </c>
      <c r="O56" s="10" t="n">
        <f aca="false">COUNTIF(Relations!$A:$A,A56)</f>
        <v>2</v>
      </c>
      <c r="P56" s="10" t="n">
        <f aca="false">COUNTIF(Relations!$D:$D,A56)</f>
        <v>1</v>
      </c>
    </row>
    <row r="57" customFormat="false" ht="24" hidden="false" customHeight="false" outlineLevel="0" collapsed="false">
      <c r="A57" s="11" t="s">
        <v>434</v>
      </c>
      <c r="B57" s="11" t="s">
        <v>435</v>
      </c>
      <c r="C57" s="11" t="s">
        <v>348</v>
      </c>
      <c r="D57" s="12" t="s">
        <v>31</v>
      </c>
      <c r="E57" s="12" t="s">
        <v>37</v>
      </c>
      <c r="F57" s="11" t="s">
        <v>255</v>
      </c>
      <c r="G57" s="11" t="s">
        <v>436</v>
      </c>
      <c r="H57" s="11" t="s">
        <v>437</v>
      </c>
      <c r="I57" s="11" t="s">
        <v>438</v>
      </c>
      <c r="J57" s="11" t="s">
        <v>63</v>
      </c>
      <c r="K57" s="11" t="s">
        <v>63</v>
      </c>
      <c r="L57" s="11" t="s">
        <v>309</v>
      </c>
      <c r="M57" s="11" t="s">
        <v>439</v>
      </c>
      <c r="N57" s="11" t="s">
        <v>440</v>
      </c>
      <c r="O57" s="10" t="n">
        <f aca="false">COUNTIF(Relations!$A:$A,A57)</f>
        <v>0</v>
      </c>
      <c r="P57" s="10" t="n">
        <f aca="false">COUNTIF(Relations!$D:$D,A57)</f>
        <v>1</v>
      </c>
    </row>
    <row r="58" customFormat="false" ht="35" hidden="false" customHeight="false" outlineLevel="0" collapsed="false">
      <c r="A58" s="11" t="s">
        <v>441</v>
      </c>
      <c r="B58" s="11" t="s">
        <v>442</v>
      </c>
      <c r="C58" s="11" t="s">
        <v>443</v>
      </c>
      <c r="D58" s="12" t="s">
        <v>31</v>
      </c>
      <c r="E58" s="12" t="s">
        <v>37</v>
      </c>
      <c r="F58" s="11" t="s">
        <v>92</v>
      </c>
      <c r="G58" s="11" t="s">
        <v>444</v>
      </c>
      <c r="H58" s="11" t="s">
        <v>445</v>
      </c>
      <c r="I58" s="11" t="s">
        <v>446</v>
      </c>
      <c r="J58" s="11" t="s">
        <v>447</v>
      </c>
      <c r="K58" s="11" t="s">
        <v>448</v>
      </c>
      <c r="L58" s="11" t="s">
        <v>309</v>
      </c>
      <c r="M58" s="11" t="s">
        <v>400</v>
      </c>
      <c r="N58" s="11" t="s">
        <v>449</v>
      </c>
      <c r="O58" s="10" t="n">
        <f aca="false">COUNTIF(Relations!$A:$A,A58)</f>
        <v>2</v>
      </c>
      <c r="P58" s="10" t="n">
        <f aca="false">COUNTIF(Relations!$D:$D,A58)</f>
        <v>4</v>
      </c>
    </row>
    <row r="59" customFormat="false" ht="35" hidden="false" customHeight="false" outlineLevel="0" collapsed="false">
      <c r="A59" s="11" t="s">
        <v>450</v>
      </c>
      <c r="B59" s="11" t="s">
        <v>451</v>
      </c>
      <c r="C59" s="11" t="s">
        <v>443</v>
      </c>
      <c r="D59" s="12" t="s">
        <v>31</v>
      </c>
      <c r="E59" s="12" t="s">
        <v>37</v>
      </c>
      <c r="F59" s="11" t="s">
        <v>92</v>
      </c>
      <c r="G59" s="11" t="s">
        <v>452</v>
      </c>
      <c r="H59" s="11" t="s">
        <v>453</v>
      </c>
      <c r="I59" s="11" t="s">
        <v>63</v>
      </c>
      <c r="J59" s="11" t="s">
        <v>63</v>
      </c>
      <c r="K59" s="11" t="s">
        <v>63</v>
      </c>
      <c r="L59" s="11" t="s">
        <v>309</v>
      </c>
      <c r="M59" s="11" t="s">
        <v>454</v>
      </c>
      <c r="N59" s="11" t="s">
        <v>455</v>
      </c>
      <c r="O59" s="10" t="n">
        <f aca="false">COUNTIF(Relations!$A:$A,A59)</f>
        <v>0</v>
      </c>
      <c r="P59" s="10" t="n">
        <f aca="false">COUNTIF(Relations!$D:$D,A59)</f>
        <v>4</v>
      </c>
    </row>
    <row r="60" customFormat="false" ht="46" hidden="false" customHeight="false" outlineLevel="0" collapsed="false">
      <c r="A60" s="11" t="s">
        <v>456</v>
      </c>
      <c r="B60" s="11" t="s">
        <v>457</v>
      </c>
      <c r="C60" s="11" t="s">
        <v>443</v>
      </c>
      <c r="D60" s="12" t="s">
        <v>31</v>
      </c>
      <c r="E60" s="12" t="s">
        <v>37</v>
      </c>
      <c r="F60" s="11" t="s">
        <v>119</v>
      </c>
      <c r="G60" s="11" t="s">
        <v>444</v>
      </c>
      <c r="H60" s="11" t="s">
        <v>458</v>
      </c>
      <c r="I60" s="11" t="s">
        <v>115</v>
      </c>
      <c r="J60" s="11" t="s">
        <v>63</v>
      </c>
      <c r="K60" s="11" t="s">
        <v>63</v>
      </c>
      <c r="L60" s="11" t="s">
        <v>309</v>
      </c>
      <c r="M60" s="11" t="s">
        <v>400</v>
      </c>
      <c r="N60" s="11"/>
      <c r="O60" s="10" t="n">
        <f aca="false">COUNTIF(Relations!$A:$A,A60)</f>
        <v>0</v>
      </c>
      <c r="P60" s="10" t="n">
        <f aca="false">COUNTIF(Relations!$D:$D,A60)</f>
        <v>2</v>
      </c>
    </row>
  </sheetData>
  <autoFilter ref="A1:P60"/>
  <dataValidations count="2">
    <dataValidation allowBlank="true" errorStyle="stop" operator="between" showDropDown="false" showErrorMessage="false" showInputMessage="false" sqref="D2:D261" type="list">
      <formula1>"decided,proposed,open,superseded"</formula1>
      <formula2>0</formula2>
    </dataValidation>
    <dataValidation allowBlank="true" errorStyle="stop" operator="between" showDropDown="false" showErrorMessage="false" showInputMessage="false" sqref="E2:E261" type="list">
      <formula1>"implemented,partial,not-started,drift"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4"/>
    <col collapsed="false" customWidth="true" hidden="false" outlineLevel="0" max="4" min="4" style="0" width="9"/>
    <col collapsed="false" customWidth="true" hidden="false" outlineLevel="0" max="5" min="5" style="0" width="34"/>
    <col collapsed="false" customWidth="true" hidden="false" outlineLevel="0" max="6" min="6" style="0" width="70"/>
  </cols>
  <sheetData>
    <row r="1" customFormat="false" ht="15" hidden="false" customHeight="false" outlineLevel="0" collapsed="false">
      <c r="A1" s="7" t="s">
        <v>459</v>
      </c>
      <c r="B1" s="7" t="s">
        <v>460</v>
      </c>
      <c r="C1" s="7" t="s">
        <v>461</v>
      </c>
      <c r="D1" s="7" t="s">
        <v>462</v>
      </c>
      <c r="E1" s="7" t="s">
        <v>463</v>
      </c>
      <c r="F1" s="7" t="s">
        <v>464</v>
      </c>
    </row>
    <row r="2" customFormat="false" ht="15" hidden="false" customHeight="false" outlineLevel="0" collapsed="false">
      <c r="A2" s="8" t="s">
        <v>56</v>
      </c>
      <c r="B2" s="8" t="s">
        <v>57</v>
      </c>
      <c r="C2" s="9" t="s">
        <v>465</v>
      </c>
      <c r="D2" s="8" t="s">
        <v>67</v>
      </c>
      <c r="E2" s="8" t="s">
        <v>68</v>
      </c>
      <c r="F2" s="8" t="s">
        <v>466</v>
      </c>
    </row>
    <row r="3" customFormat="false" ht="15" hidden="false" customHeight="false" outlineLevel="0" collapsed="false">
      <c r="A3" s="8" t="s">
        <v>56</v>
      </c>
      <c r="B3" s="8" t="s">
        <v>57</v>
      </c>
      <c r="C3" s="9" t="s">
        <v>465</v>
      </c>
      <c r="D3" s="8" t="s">
        <v>97</v>
      </c>
      <c r="E3" s="8" t="s">
        <v>98</v>
      </c>
      <c r="F3" s="8" t="s">
        <v>467</v>
      </c>
    </row>
    <row r="4" customFormat="false" ht="15" hidden="false" customHeight="false" outlineLevel="0" collapsed="false">
      <c r="A4" s="8" t="s">
        <v>56</v>
      </c>
      <c r="B4" s="8" t="s">
        <v>57</v>
      </c>
      <c r="C4" s="9" t="s">
        <v>468</v>
      </c>
      <c r="D4" s="8" t="s">
        <v>133</v>
      </c>
      <c r="E4" s="8" t="s">
        <v>134</v>
      </c>
      <c r="F4" s="8" t="s">
        <v>469</v>
      </c>
    </row>
    <row r="5" customFormat="false" ht="15" hidden="false" customHeight="false" outlineLevel="0" collapsed="false">
      <c r="A5" s="8" t="s">
        <v>67</v>
      </c>
      <c r="B5" s="8" t="s">
        <v>68</v>
      </c>
      <c r="C5" s="9" t="s">
        <v>465</v>
      </c>
      <c r="D5" s="8" t="s">
        <v>74</v>
      </c>
      <c r="E5" s="8" t="s">
        <v>75</v>
      </c>
      <c r="F5" s="8" t="s">
        <v>470</v>
      </c>
    </row>
    <row r="6" customFormat="false" ht="15" hidden="false" customHeight="false" outlineLevel="0" collapsed="false">
      <c r="A6" s="8" t="s">
        <v>67</v>
      </c>
      <c r="B6" s="8" t="s">
        <v>68</v>
      </c>
      <c r="C6" s="9" t="s">
        <v>471</v>
      </c>
      <c r="D6" s="8" t="s">
        <v>379</v>
      </c>
      <c r="E6" s="8" t="s">
        <v>380</v>
      </c>
      <c r="F6" s="8" t="s">
        <v>472</v>
      </c>
    </row>
    <row r="7" customFormat="false" ht="15" hidden="false" customHeight="false" outlineLevel="0" collapsed="false">
      <c r="A7" s="8" t="s">
        <v>67</v>
      </c>
      <c r="B7" s="8" t="s">
        <v>68</v>
      </c>
      <c r="C7" s="9" t="s">
        <v>471</v>
      </c>
      <c r="D7" s="8" t="s">
        <v>393</v>
      </c>
      <c r="E7" s="8" t="s">
        <v>394</v>
      </c>
      <c r="F7" s="8" t="s">
        <v>473</v>
      </c>
    </row>
    <row r="8" customFormat="false" ht="15" hidden="false" customHeight="false" outlineLevel="0" collapsed="false">
      <c r="A8" s="8" t="s">
        <v>74</v>
      </c>
      <c r="B8" s="8" t="s">
        <v>75</v>
      </c>
      <c r="C8" s="9" t="s">
        <v>471</v>
      </c>
      <c r="D8" s="8" t="s">
        <v>354</v>
      </c>
      <c r="E8" s="8" t="s">
        <v>348</v>
      </c>
      <c r="F8" s="8" t="s">
        <v>474</v>
      </c>
    </row>
    <row r="9" customFormat="false" ht="15" hidden="false" customHeight="false" outlineLevel="0" collapsed="false">
      <c r="A9" s="8" t="s">
        <v>74</v>
      </c>
      <c r="B9" s="8" t="s">
        <v>75</v>
      </c>
      <c r="C9" s="9" t="s">
        <v>471</v>
      </c>
      <c r="D9" s="8" t="s">
        <v>362</v>
      </c>
      <c r="E9" s="8" t="s">
        <v>363</v>
      </c>
      <c r="F9" s="8" t="s">
        <v>475</v>
      </c>
    </row>
    <row r="10" customFormat="false" ht="15" hidden="false" customHeight="false" outlineLevel="0" collapsed="false">
      <c r="A10" s="8" t="s">
        <v>74</v>
      </c>
      <c r="B10" s="8" t="s">
        <v>75</v>
      </c>
      <c r="C10" s="9" t="s">
        <v>471</v>
      </c>
      <c r="D10" s="8" t="s">
        <v>387</v>
      </c>
      <c r="E10" s="8" t="s">
        <v>388</v>
      </c>
      <c r="F10" s="8" t="s">
        <v>476</v>
      </c>
    </row>
    <row r="11" customFormat="false" ht="15" hidden="false" customHeight="false" outlineLevel="0" collapsed="false">
      <c r="A11" s="8" t="s">
        <v>83</v>
      </c>
      <c r="B11" s="8" t="s">
        <v>84</v>
      </c>
      <c r="C11" s="9" t="s">
        <v>468</v>
      </c>
      <c r="D11" s="8" t="s">
        <v>441</v>
      </c>
      <c r="E11" s="8" t="s">
        <v>442</v>
      </c>
      <c r="F11" s="8" t="s">
        <v>477</v>
      </c>
    </row>
    <row r="12" customFormat="false" ht="15" hidden="false" customHeight="false" outlineLevel="0" collapsed="false">
      <c r="A12" s="8" t="s">
        <v>104</v>
      </c>
      <c r="B12" s="8" t="s">
        <v>105</v>
      </c>
      <c r="C12" s="9" t="s">
        <v>468</v>
      </c>
      <c r="D12" s="8" t="s">
        <v>409</v>
      </c>
      <c r="E12" s="8" t="s">
        <v>410</v>
      </c>
      <c r="F12" s="8" t="s">
        <v>478</v>
      </c>
    </row>
    <row r="13" customFormat="false" ht="15" hidden="false" customHeight="false" outlineLevel="0" collapsed="false">
      <c r="A13" s="8" t="s">
        <v>104</v>
      </c>
      <c r="B13" s="8" t="s">
        <v>105</v>
      </c>
      <c r="C13" s="9" t="s">
        <v>468</v>
      </c>
      <c r="D13" s="8" t="s">
        <v>393</v>
      </c>
      <c r="E13" s="8" t="s">
        <v>394</v>
      </c>
      <c r="F13" s="8" t="s">
        <v>479</v>
      </c>
    </row>
    <row r="14" customFormat="false" ht="15" hidden="false" customHeight="false" outlineLevel="0" collapsed="false">
      <c r="A14" s="8" t="s">
        <v>110</v>
      </c>
      <c r="B14" s="8" t="s">
        <v>111</v>
      </c>
      <c r="C14" s="9" t="s">
        <v>471</v>
      </c>
      <c r="D14" s="8" t="s">
        <v>117</v>
      </c>
      <c r="E14" s="8" t="s">
        <v>118</v>
      </c>
      <c r="F14" s="8" t="s">
        <v>480</v>
      </c>
    </row>
    <row r="15" customFormat="false" ht="15" hidden="false" customHeight="false" outlineLevel="0" collapsed="false">
      <c r="A15" s="8" t="s">
        <v>117</v>
      </c>
      <c r="B15" s="8" t="s">
        <v>118</v>
      </c>
      <c r="C15" s="9" t="s">
        <v>471</v>
      </c>
      <c r="D15" s="8" t="s">
        <v>300</v>
      </c>
      <c r="E15" s="8" t="s">
        <v>301</v>
      </c>
      <c r="F15" s="8" t="s">
        <v>481</v>
      </c>
    </row>
    <row r="16" customFormat="false" ht="15" hidden="false" customHeight="false" outlineLevel="0" collapsed="false">
      <c r="A16" s="8" t="s">
        <v>117</v>
      </c>
      <c r="B16" s="8" t="s">
        <v>118</v>
      </c>
      <c r="C16" s="9" t="s">
        <v>471</v>
      </c>
      <c r="D16" s="8" t="s">
        <v>320</v>
      </c>
      <c r="E16" s="8" t="s">
        <v>321</v>
      </c>
      <c r="F16" s="8" t="s">
        <v>482</v>
      </c>
    </row>
    <row r="17" customFormat="false" ht="15" hidden="false" customHeight="false" outlineLevel="0" collapsed="false">
      <c r="A17" s="8" t="s">
        <v>117</v>
      </c>
      <c r="B17" s="8" t="s">
        <v>118</v>
      </c>
      <c r="C17" s="9" t="s">
        <v>471</v>
      </c>
      <c r="D17" s="8" t="s">
        <v>215</v>
      </c>
      <c r="E17" s="8" t="s">
        <v>216</v>
      </c>
      <c r="F17" s="8" t="s">
        <v>483</v>
      </c>
    </row>
    <row r="18" customFormat="false" ht="15" hidden="false" customHeight="false" outlineLevel="0" collapsed="false">
      <c r="A18" s="8" t="s">
        <v>126</v>
      </c>
      <c r="B18" s="8" t="s">
        <v>127</v>
      </c>
      <c r="C18" s="9" t="s">
        <v>484</v>
      </c>
      <c r="D18" s="8" t="s">
        <v>379</v>
      </c>
      <c r="E18" s="8" t="s">
        <v>380</v>
      </c>
      <c r="F18" s="8" t="s">
        <v>485</v>
      </c>
    </row>
    <row r="19" customFormat="false" ht="15" hidden="false" customHeight="false" outlineLevel="0" collapsed="false">
      <c r="A19" s="8" t="s">
        <v>133</v>
      </c>
      <c r="B19" s="8" t="s">
        <v>134</v>
      </c>
      <c r="C19" s="9" t="s">
        <v>471</v>
      </c>
      <c r="D19" s="8" t="s">
        <v>354</v>
      </c>
      <c r="E19" s="8" t="s">
        <v>348</v>
      </c>
      <c r="F19" s="8" t="s">
        <v>486</v>
      </c>
    </row>
    <row r="20" customFormat="false" ht="15" hidden="false" customHeight="false" outlineLevel="0" collapsed="false">
      <c r="A20" s="8" t="s">
        <v>140</v>
      </c>
      <c r="B20" s="8" t="s">
        <v>141</v>
      </c>
      <c r="C20" s="9" t="s">
        <v>465</v>
      </c>
      <c r="D20" s="8" t="s">
        <v>393</v>
      </c>
      <c r="E20" s="8" t="s">
        <v>394</v>
      </c>
      <c r="F20" s="8" t="s">
        <v>487</v>
      </c>
    </row>
    <row r="21" customFormat="false" ht="15" hidden="false" customHeight="false" outlineLevel="0" collapsed="false">
      <c r="A21" s="8" t="s">
        <v>153</v>
      </c>
      <c r="B21" s="8" t="s">
        <v>154</v>
      </c>
      <c r="C21" s="9" t="s">
        <v>465</v>
      </c>
      <c r="D21" s="8" t="s">
        <v>167</v>
      </c>
      <c r="E21" s="8" t="s">
        <v>168</v>
      </c>
      <c r="F21" s="8" t="s">
        <v>488</v>
      </c>
    </row>
    <row r="22" customFormat="false" ht="15" hidden="false" customHeight="false" outlineLevel="0" collapsed="false">
      <c r="A22" s="8" t="s">
        <v>153</v>
      </c>
      <c r="B22" s="8" t="s">
        <v>154</v>
      </c>
      <c r="C22" s="9" t="s">
        <v>465</v>
      </c>
      <c r="D22" s="8" t="s">
        <v>236</v>
      </c>
      <c r="E22" s="8" t="s">
        <v>237</v>
      </c>
      <c r="F22" s="8" t="s">
        <v>489</v>
      </c>
    </row>
    <row r="23" customFormat="false" ht="15" hidden="false" customHeight="false" outlineLevel="0" collapsed="false">
      <c r="A23" s="8" t="s">
        <v>153</v>
      </c>
      <c r="B23" s="8" t="s">
        <v>154</v>
      </c>
      <c r="C23" s="9" t="s">
        <v>465</v>
      </c>
      <c r="D23" s="8" t="s">
        <v>245</v>
      </c>
      <c r="E23" s="8" t="s">
        <v>246</v>
      </c>
      <c r="F23" s="8" t="s">
        <v>490</v>
      </c>
    </row>
    <row r="24" customFormat="false" ht="15" hidden="false" customHeight="false" outlineLevel="0" collapsed="false">
      <c r="A24" s="8" t="s">
        <v>153</v>
      </c>
      <c r="B24" s="8" t="s">
        <v>154</v>
      </c>
      <c r="C24" s="9" t="s">
        <v>465</v>
      </c>
      <c r="D24" s="8" t="s">
        <v>346</v>
      </c>
      <c r="E24" s="8" t="s">
        <v>347</v>
      </c>
      <c r="F24" s="8" t="s">
        <v>491</v>
      </c>
    </row>
    <row r="25" customFormat="false" ht="15" hidden="false" customHeight="false" outlineLevel="0" collapsed="false">
      <c r="A25" s="8" t="s">
        <v>160</v>
      </c>
      <c r="B25" s="8" t="s">
        <v>161</v>
      </c>
      <c r="C25" s="9" t="s">
        <v>468</v>
      </c>
      <c r="D25" s="8" t="s">
        <v>300</v>
      </c>
      <c r="E25" s="8" t="s">
        <v>301</v>
      </c>
      <c r="F25" s="8" t="s">
        <v>492</v>
      </c>
    </row>
    <row r="26" customFormat="false" ht="15" hidden="false" customHeight="false" outlineLevel="0" collapsed="false">
      <c r="A26" s="8" t="s">
        <v>167</v>
      </c>
      <c r="B26" s="8" t="s">
        <v>168</v>
      </c>
      <c r="C26" s="9" t="s">
        <v>493</v>
      </c>
      <c r="D26" s="8" t="s">
        <v>195</v>
      </c>
      <c r="E26" s="8" t="s">
        <v>196</v>
      </c>
      <c r="F26" s="8" t="s">
        <v>494</v>
      </c>
    </row>
    <row r="27" customFormat="false" ht="15" hidden="false" customHeight="false" outlineLevel="0" collapsed="false">
      <c r="A27" s="8" t="s">
        <v>195</v>
      </c>
      <c r="B27" s="8" t="s">
        <v>196</v>
      </c>
      <c r="C27" s="9" t="s">
        <v>465</v>
      </c>
      <c r="D27" s="8" t="s">
        <v>203</v>
      </c>
      <c r="E27" s="8" t="s">
        <v>204</v>
      </c>
      <c r="F27" s="8" t="s">
        <v>495</v>
      </c>
    </row>
    <row r="28" customFormat="false" ht="15" hidden="false" customHeight="false" outlineLevel="0" collapsed="false">
      <c r="A28" s="8" t="s">
        <v>195</v>
      </c>
      <c r="B28" s="8" t="s">
        <v>196</v>
      </c>
      <c r="C28" s="9" t="s">
        <v>465</v>
      </c>
      <c r="D28" s="8" t="s">
        <v>209</v>
      </c>
      <c r="E28" s="8" t="s">
        <v>210</v>
      </c>
      <c r="F28" s="8" t="s">
        <v>496</v>
      </c>
    </row>
    <row r="29" customFormat="false" ht="15" hidden="false" customHeight="false" outlineLevel="0" collapsed="false">
      <c r="A29" s="8" t="s">
        <v>195</v>
      </c>
      <c r="B29" s="8" t="s">
        <v>196</v>
      </c>
      <c r="C29" s="9" t="s">
        <v>465</v>
      </c>
      <c r="D29" s="8" t="s">
        <v>354</v>
      </c>
      <c r="E29" s="8" t="s">
        <v>348</v>
      </c>
      <c r="F29" s="8" t="s">
        <v>497</v>
      </c>
    </row>
    <row r="30" customFormat="false" ht="15" hidden="false" customHeight="false" outlineLevel="0" collapsed="false">
      <c r="A30" s="8" t="s">
        <v>195</v>
      </c>
      <c r="B30" s="8" t="s">
        <v>196</v>
      </c>
      <c r="C30" s="9" t="s">
        <v>465</v>
      </c>
      <c r="D30" s="8" t="s">
        <v>362</v>
      </c>
      <c r="E30" s="8" t="s">
        <v>363</v>
      </c>
      <c r="F30" s="8" t="s">
        <v>498</v>
      </c>
    </row>
    <row r="31" customFormat="false" ht="15" hidden="false" customHeight="false" outlineLevel="0" collapsed="false">
      <c r="A31" s="8" t="s">
        <v>203</v>
      </c>
      <c r="B31" s="8" t="s">
        <v>204</v>
      </c>
      <c r="C31" s="9" t="s">
        <v>468</v>
      </c>
      <c r="D31" s="8" t="s">
        <v>409</v>
      </c>
      <c r="E31" s="8" t="s">
        <v>410</v>
      </c>
      <c r="F31" s="8" t="s">
        <v>499</v>
      </c>
    </row>
    <row r="32" customFormat="false" ht="15" hidden="false" customHeight="false" outlineLevel="0" collapsed="false">
      <c r="A32" s="8" t="s">
        <v>203</v>
      </c>
      <c r="B32" s="8" t="s">
        <v>204</v>
      </c>
      <c r="C32" s="9" t="s">
        <v>468</v>
      </c>
      <c r="D32" s="8" t="s">
        <v>393</v>
      </c>
      <c r="E32" s="8" t="s">
        <v>394</v>
      </c>
      <c r="F32" s="8" t="s">
        <v>500</v>
      </c>
    </row>
    <row r="33" customFormat="false" ht="15" hidden="false" customHeight="false" outlineLevel="0" collapsed="false">
      <c r="A33" s="8" t="s">
        <v>209</v>
      </c>
      <c r="B33" s="8" t="s">
        <v>210</v>
      </c>
      <c r="C33" s="9" t="s">
        <v>468</v>
      </c>
      <c r="D33" s="8" t="s">
        <v>215</v>
      </c>
      <c r="E33" s="8" t="s">
        <v>216</v>
      </c>
      <c r="F33" s="8" t="s">
        <v>501</v>
      </c>
    </row>
    <row r="34" customFormat="false" ht="15" hidden="false" customHeight="false" outlineLevel="0" collapsed="false">
      <c r="A34" s="8" t="s">
        <v>209</v>
      </c>
      <c r="B34" s="8" t="s">
        <v>210</v>
      </c>
      <c r="C34" s="9" t="s">
        <v>468</v>
      </c>
      <c r="D34" s="8" t="s">
        <v>117</v>
      </c>
      <c r="E34" s="8" t="s">
        <v>118</v>
      </c>
      <c r="F34" s="8" t="s">
        <v>502</v>
      </c>
    </row>
    <row r="35" customFormat="false" ht="15" hidden="false" customHeight="false" outlineLevel="0" collapsed="false">
      <c r="A35" s="8" t="s">
        <v>209</v>
      </c>
      <c r="B35" s="8" t="s">
        <v>210</v>
      </c>
      <c r="C35" s="9" t="s">
        <v>468</v>
      </c>
      <c r="D35" s="8" t="s">
        <v>326</v>
      </c>
      <c r="E35" s="8" t="s">
        <v>327</v>
      </c>
      <c r="F35" s="8" t="s">
        <v>503</v>
      </c>
    </row>
    <row r="36" customFormat="false" ht="15" hidden="false" customHeight="false" outlineLevel="0" collapsed="false">
      <c r="A36" s="8" t="s">
        <v>209</v>
      </c>
      <c r="B36" s="8" t="s">
        <v>210</v>
      </c>
      <c r="C36" s="9" t="s">
        <v>493</v>
      </c>
      <c r="D36" s="8" t="s">
        <v>219</v>
      </c>
      <c r="E36" s="8" t="s">
        <v>220</v>
      </c>
      <c r="F36" s="8" t="s">
        <v>504</v>
      </c>
    </row>
    <row r="37" customFormat="false" ht="15" hidden="false" customHeight="false" outlineLevel="0" collapsed="false">
      <c r="A37" s="8" t="s">
        <v>209</v>
      </c>
      <c r="B37" s="8" t="s">
        <v>210</v>
      </c>
      <c r="C37" s="9" t="s">
        <v>484</v>
      </c>
      <c r="D37" s="8" t="s">
        <v>332</v>
      </c>
      <c r="E37" s="8" t="s">
        <v>333</v>
      </c>
      <c r="F37" s="8" t="s">
        <v>505</v>
      </c>
    </row>
    <row r="38" customFormat="false" ht="15" hidden="false" customHeight="false" outlineLevel="0" collapsed="false">
      <c r="A38" s="8" t="s">
        <v>209</v>
      </c>
      <c r="B38" s="8" t="s">
        <v>210</v>
      </c>
      <c r="C38" s="9" t="s">
        <v>471</v>
      </c>
      <c r="D38" s="8" t="s">
        <v>379</v>
      </c>
      <c r="E38" s="8" t="s">
        <v>380</v>
      </c>
      <c r="F38" s="8" t="s">
        <v>506</v>
      </c>
    </row>
    <row r="39" customFormat="false" ht="15" hidden="false" customHeight="false" outlineLevel="0" collapsed="false">
      <c r="A39" s="8" t="s">
        <v>219</v>
      </c>
      <c r="B39" s="8" t="s">
        <v>220</v>
      </c>
      <c r="C39" s="9" t="s">
        <v>468</v>
      </c>
      <c r="D39" s="8" t="s">
        <v>230</v>
      </c>
      <c r="E39" s="8" t="s">
        <v>231</v>
      </c>
      <c r="F39" s="8" t="s">
        <v>507</v>
      </c>
    </row>
    <row r="40" customFormat="false" ht="15" hidden="false" customHeight="false" outlineLevel="0" collapsed="false">
      <c r="A40" s="8" t="s">
        <v>219</v>
      </c>
      <c r="B40" s="8" t="s">
        <v>220</v>
      </c>
      <c r="C40" s="9" t="s">
        <v>468</v>
      </c>
      <c r="D40" s="8" t="s">
        <v>148</v>
      </c>
      <c r="E40" s="8" t="s">
        <v>149</v>
      </c>
      <c r="F40" s="8" t="s">
        <v>508</v>
      </c>
    </row>
    <row r="41" customFormat="false" ht="15" hidden="false" customHeight="false" outlineLevel="0" collapsed="false">
      <c r="A41" s="8" t="s">
        <v>225</v>
      </c>
      <c r="B41" s="8" t="s">
        <v>226</v>
      </c>
      <c r="C41" s="9" t="s">
        <v>468</v>
      </c>
      <c r="D41" s="8" t="s">
        <v>230</v>
      </c>
      <c r="E41" s="8" t="s">
        <v>231</v>
      </c>
      <c r="F41" s="8" t="s">
        <v>509</v>
      </c>
    </row>
    <row r="42" customFormat="false" ht="15" hidden="false" customHeight="false" outlineLevel="0" collapsed="false">
      <c r="A42" s="8" t="s">
        <v>230</v>
      </c>
      <c r="B42" s="8" t="s">
        <v>231</v>
      </c>
      <c r="C42" s="9" t="s">
        <v>484</v>
      </c>
      <c r="D42" s="8" t="s">
        <v>450</v>
      </c>
      <c r="E42" s="8" t="s">
        <v>451</v>
      </c>
      <c r="F42" s="8" t="s">
        <v>510</v>
      </c>
    </row>
    <row r="43" customFormat="false" ht="15" hidden="false" customHeight="false" outlineLevel="0" collapsed="false">
      <c r="A43" s="8" t="s">
        <v>236</v>
      </c>
      <c r="B43" s="8" t="s">
        <v>237</v>
      </c>
      <c r="C43" s="9" t="s">
        <v>493</v>
      </c>
      <c r="D43" s="8" t="s">
        <v>368</v>
      </c>
      <c r="E43" s="8" t="s">
        <v>369</v>
      </c>
      <c r="F43" s="8" t="s">
        <v>511</v>
      </c>
    </row>
    <row r="44" customFormat="false" ht="15" hidden="false" customHeight="false" outlineLevel="0" collapsed="false">
      <c r="A44" s="8" t="s">
        <v>236</v>
      </c>
      <c r="B44" s="8" t="s">
        <v>237</v>
      </c>
      <c r="C44" s="9" t="s">
        <v>493</v>
      </c>
      <c r="D44" s="8" t="s">
        <v>245</v>
      </c>
      <c r="E44" s="8" t="s">
        <v>246</v>
      </c>
      <c r="F44" s="8" t="s">
        <v>512</v>
      </c>
    </row>
    <row r="45" customFormat="false" ht="15" hidden="false" customHeight="false" outlineLevel="0" collapsed="false">
      <c r="A45" s="8" t="s">
        <v>245</v>
      </c>
      <c r="B45" s="8" t="s">
        <v>246</v>
      </c>
      <c r="C45" s="9" t="s">
        <v>465</v>
      </c>
      <c r="D45" s="8" t="s">
        <v>253</v>
      </c>
      <c r="E45" s="8" t="s">
        <v>254</v>
      </c>
      <c r="F45" s="8" t="s">
        <v>254</v>
      </c>
    </row>
    <row r="46" customFormat="false" ht="15" hidden="false" customHeight="false" outlineLevel="0" collapsed="false">
      <c r="A46" s="8" t="s">
        <v>245</v>
      </c>
      <c r="B46" s="8" t="s">
        <v>246</v>
      </c>
      <c r="C46" s="9" t="s">
        <v>465</v>
      </c>
      <c r="D46" s="8" t="s">
        <v>261</v>
      </c>
      <c r="E46" s="8" t="s">
        <v>262</v>
      </c>
      <c r="F46" s="8" t="s">
        <v>262</v>
      </c>
    </row>
    <row r="47" customFormat="false" ht="15" hidden="false" customHeight="false" outlineLevel="0" collapsed="false">
      <c r="A47" s="8" t="s">
        <v>245</v>
      </c>
      <c r="B47" s="8" t="s">
        <v>246</v>
      </c>
      <c r="C47" s="9" t="s">
        <v>465</v>
      </c>
      <c r="D47" s="8" t="s">
        <v>267</v>
      </c>
      <c r="E47" s="8" t="s">
        <v>268</v>
      </c>
      <c r="F47" s="8" t="s">
        <v>268</v>
      </c>
    </row>
    <row r="48" customFormat="false" ht="15" hidden="false" customHeight="false" outlineLevel="0" collapsed="false">
      <c r="A48" s="8" t="s">
        <v>245</v>
      </c>
      <c r="B48" s="8" t="s">
        <v>246</v>
      </c>
      <c r="C48" s="9" t="s">
        <v>484</v>
      </c>
      <c r="D48" s="8" t="s">
        <v>429</v>
      </c>
      <c r="E48" s="8" t="s">
        <v>430</v>
      </c>
      <c r="F48" s="8" t="s">
        <v>513</v>
      </c>
    </row>
    <row r="49" customFormat="false" ht="15" hidden="false" customHeight="false" outlineLevel="0" collapsed="false">
      <c r="A49" s="8" t="s">
        <v>253</v>
      </c>
      <c r="B49" s="8" t="s">
        <v>254</v>
      </c>
      <c r="C49" s="9" t="s">
        <v>468</v>
      </c>
      <c r="D49" s="8" t="s">
        <v>300</v>
      </c>
      <c r="E49" s="8" t="s">
        <v>301</v>
      </c>
      <c r="F49" s="8" t="s">
        <v>514</v>
      </c>
    </row>
    <row r="50" customFormat="false" ht="15" hidden="false" customHeight="false" outlineLevel="0" collapsed="false">
      <c r="A50" s="8" t="s">
        <v>273</v>
      </c>
      <c r="B50" s="8" t="s">
        <v>274</v>
      </c>
      <c r="C50" s="9" t="s">
        <v>471</v>
      </c>
      <c r="D50" s="8" t="s">
        <v>312</v>
      </c>
      <c r="E50" s="8" t="s">
        <v>313</v>
      </c>
      <c r="F50" s="8" t="s">
        <v>515</v>
      </c>
    </row>
    <row r="51" customFormat="false" ht="15" hidden="false" customHeight="false" outlineLevel="0" collapsed="false">
      <c r="A51" s="8" t="s">
        <v>273</v>
      </c>
      <c r="B51" s="8" t="s">
        <v>274</v>
      </c>
      <c r="C51" s="9" t="s">
        <v>471</v>
      </c>
      <c r="D51" s="8" t="s">
        <v>402</v>
      </c>
      <c r="E51" s="8" t="s">
        <v>403</v>
      </c>
      <c r="F51" s="8" t="s">
        <v>516</v>
      </c>
    </row>
    <row r="52" customFormat="false" ht="15" hidden="false" customHeight="false" outlineLevel="0" collapsed="false">
      <c r="A52" s="8" t="s">
        <v>273</v>
      </c>
      <c r="B52" s="8" t="s">
        <v>274</v>
      </c>
      <c r="C52" s="9" t="s">
        <v>468</v>
      </c>
      <c r="D52" s="8" t="s">
        <v>340</v>
      </c>
      <c r="E52" s="8" t="s">
        <v>341</v>
      </c>
      <c r="F52" s="8" t="s">
        <v>517</v>
      </c>
    </row>
    <row r="53" customFormat="false" ht="15" hidden="false" customHeight="false" outlineLevel="0" collapsed="false">
      <c r="A53" s="8" t="s">
        <v>282</v>
      </c>
      <c r="B53" s="8" t="s">
        <v>283</v>
      </c>
      <c r="C53" s="9" t="s">
        <v>471</v>
      </c>
      <c r="D53" s="8" t="s">
        <v>456</v>
      </c>
      <c r="E53" s="8" t="s">
        <v>457</v>
      </c>
      <c r="F53" s="8" t="s">
        <v>518</v>
      </c>
    </row>
    <row r="54" customFormat="false" ht="15" hidden="false" customHeight="false" outlineLevel="0" collapsed="false">
      <c r="A54" s="8" t="s">
        <v>287</v>
      </c>
      <c r="B54" s="8" t="s">
        <v>288</v>
      </c>
      <c r="C54" s="9" t="s">
        <v>468</v>
      </c>
      <c r="D54" s="8" t="s">
        <v>312</v>
      </c>
      <c r="E54" s="8" t="s">
        <v>313</v>
      </c>
      <c r="F54" s="8" t="s">
        <v>519</v>
      </c>
    </row>
    <row r="55" customFormat="false" ht="15" hidden="false" customHeight="false" outlineLevel="0" collapsed="false">
      <c r="A55" s="8" t="s">
        <v>293</v>
      </c>
      <c r="B55" s="8" t="s">
        <v>294</v>
      </c>
      <c r="C55" s="9" t="s">
        <v>468</v>
      </c>
      <c r="D55" s="8" t="s">
        <v>312</v>
      </c>
      <c r="E55" s="8" t="s">
        <v>313</v>
      </c>
      <c r="F55" s="8" t="s">
        <v>520</v>
      </c>
    </row>
    <row r="56" customFormat="false" ht="15" hidden="false" customHeight="false" outlineLevel="0" collapsed="false">
      <c r="A56" s="8" t="s">
        <v>293</v>
      </c>
      <c r="B56" s="8" t="s">
        <v>294</v>
      </c>
      <c r="C56" s="9" t="s">
        <v>468</v>
      </c>
      <c r="D56" s="8" t="s">
        <v>354</v>
      </c>
      <c r="E56" s="8" t="s">
        <v>348</v>
      </c>
      <c r="F56" s="8" t="s">
        <v>521</v>
      </c>
    </row>
    <row r="57" customFormat="false" ht="15" hidden="false" customHeight="false" outlineLevel="0" collapsed="false">
      <c r="A57" s="8" t="s">
        <v>300</v>
      </c>
      <c r="B57" s="8" t="s">
        <v>301</v>
      </c>
      <c r="C57" s="9" t="s">
        <v>493</v>
      </c>
      <c r="D57" s="8" t="s">
        <v>312</v>
      </c>
      <c r="E57" s="8" t="s">
        <v>313</v>
      </c>
      <c r="F57" s="8" t="s">
        <v>522</v>
      </c>
    </row>
    <row r="58" customFormat="false" ht="15" hidden="false" customHeight="false" outlineLevel="0" collapsed="false">
      <c r="A58" s="8" t="s">
        <v>300</v>
      </c>
      <c r="B58" s="8" t="s">
        <v>301</v>
      </c>
      <c r="C58" s="9" t="s">
        <v>471</v>
      </c>
      <c r="D58" s="8" t="s">
        <v>354</v>
      </c>
      <c r="E58" s="8" t="s">
        <v>348</v>
      </c>
      <c r="F58" s="8" t="s">
        <v>523</v>
      </c>
    </row>
    <row r="59" customFormat="false" ht="15" hidden="false" customHeight="false" outlineLevel="0" collapsed="false">
      <c r="A59" s="8" t="s">
        <v>300</v>
      </c>
      <c r="B59" s="8" t="s">
        <v>301</v>
      </c>
      <c r="C59" s="9" t="s">
        <v>471</v>
      </c>
      <c r="D59" s="8" t="s">
        <v>362</v>
      </c>
      <c r="E59" s="8" t="s">
        <v>363</v>
      </c>
      <c r="F59" s="8" t="s">
        <v>524</v>
      </c>
    </row>
    <row r="60" customFormat="false" ht="15" hidden="false" customHeight="false" outlineLevel="0" collapsed="false">
      <c r="A60" s="8" t="s">
        <v>300</v>
      </c>
      <c r="B60" s="8" t="s">
        <v>301</v>
      </c>
      <c r="C60" s="9" t="s">
        <v>471</v>
      </c>
      <c r="D60" s="8" t="s">
        <v>387</v>
      </c>
      <c r="E60" s="8" t="s">
        <v>388</v>
      </c>
      <c r="F60" s="8" t="s">
        <v>525</v>
      </c>
    </row>
    <row r="61" customFormat="false" ht="15" hidden="false" customHeight="false" outlineLevel="0" collapsed="false">
      <c r="A61" s="8" t="s">
        <v>312</v>
      </c>
      <c r="B61" s="8" t="s">
        <v>313</v>
      </c>
      <c r="C61" s="9" t="s">
        <v>526</v>
      </c>
      <c r="D61" s="8" t="s">
        <v>140</v>
      </c>
      <c r="E61" s="8" t="s">
        <v>141</v>
      </c>
      <c r="F61" s="8" t="s">
        <v>527</v>
      </c>
    </row>
    <row r="62" customFormat="false" ht="15" hidden="false" customHeight="false" outlineLevel="0" collapsed="false">
      <c r="A62" s="8" t="s">
        <v>312</v>
      </c>
      <c r="B62" s="8" t="s">
        <v>313</v>
      </c>
      <c r="C62" s="9" t="s">
        <v>526</v>
      </c>
      <c r="D62" s="8" t="s">
        <v>273</v>
      </c>
      <c r="E62" s="8" t="s">
        <v>274</v>
      </c>
      <c r="F62" s="8" t="s">
        <v>528</v>
      </c>
    </row>
    <row r="63" customFormat="false" ht="15" hidden="false" customHeight="false" outlineLevel="0" collapsed="false">
      <c r="A63" s="8" t="s">
        <v>320</v>
      </c>
      <c r="B63" s="8" t="s">
        <v>321</v>
      </c>
      <c r="C63" s="9" t="s">
        <v>484</v>
      </c>
      <c r="D63" s="8" t="s">
        <v>312</v>
      </c>
      <c r="E63" s="8" t="s">
        <v>313</v>
      </c>
      <c r="F63" s="8" t="s">
        <v>529</v>
      </c>
    </row>
    <row r="64" customFormat="false" ht="15" hidden="false" customHeight="false" outlineLevel="0" collapsed="false">
      <c r="A64" s="8" t="s">
        <v>326</v>
      </c>
      <c r="B64" s="8" t="s">
        <v>327</v>
      </c>
      <c r="C64" s="9" t="s">
        <v>471</v>
      </c>
      <c r="D64" s="8" t="s">
        <v>332</v>
      </c>
      <c r="E64" s="8" t="s">
        <v>333</v>
      </c>
      <c r="F64" s="8" t="s">
        <v>530</v>
      </c>
    </row>
    <row r="65" customFormat="false" ht="15" hidden="false" customHeight="false" outlineLevel="0" collapsed="false">
      <c r="A65" s="8" t="s">
        <v>332</v>
      </c>
      <c r="B65" s="8" t="s">
        <v>333</v>
      </c>
      <c r="C65" s="9" t="s">
        <v>493</v>
      </c>
      <c r="D65" s="8" t="s">
        <v>340</v>
      </c>
      <c r="E65" s="8" t="s">
        <v>341</v>
      </c>
      <c r="F65" s="8" t="s">
        <v>531</v>
      </c>
    </row>
    <row r="66" customFormat="false" ht="15" hidden="false" customHeight="false" outlineLevel="0" collapsed="false">
      <c r="A66" s="8" t="s">
        <v>332</v>
      </c>
      <c r="B66" s="8" t="s">
        <v>333</v>
      </c>
      <c r="C66" s="9" t="s">
        <v>493</v>
      </c>
      <c r="D66" s="8" t="s">
        <v>423</v>
      </c>
      <c r="E66" s="8" t="s">
        <v>424</v>
      </c>
      <c r="F66" s="8" t="s">
        <v>532</v>
      </c>
    </row>
    <row r="67" customFormat="false" ht="15" hidden="false" customHeight="false" outlineLevel="0" collapsed="false">
      <c r="A67" s="8" t="s">
        <v>340</v>
      </c>
      <c r="B67" s="8" t="s">
        <v>341</v>
      </c>
      <c r="C67" s="9" t="s">
        <v>468</v>
      </c>
      <c r="D67" s="8" t="s">
        <v>441</v>
      </c>
      <c r="E67" s="8" t="s">
        <v>442</v>
      </c>
      <c r="F67" s="8" t="s">
        <v>533</v>
      </c>
    </row>
    <row r="68" customFormat="false" ht="15" hidden="false" customHeight="false" outlineLevel="0" collapsed="false">
      <c r="A68" s="8" t="s">
        <v>346</v>
      </c>
      <c r="B68" s="8" t="s">
        <v>347</v>
      </c>
      <c r="C68" s="9" t="s">
        <v>465</v>
      </c>
      <c r="D68" s="8" t="s">
        <v>354</v>
      </c>
      <c r="E68" s="8" t="s">
        <v>348</v>
      </c>
      <c r="F68" s="8" t="s">
        <v>534</v>
      </c>
    </row>
    <row r="69" customFormat="false" ht="15" hidden="false" customHeight="false" outlineLevel="0" collapsed="false">
      <c r="A69" s="8" t="s">
        <v>346</v>
      </c>
      <c r="B69" s="8" t="s">
        <v>347</v>
      </c>
      <c r="C69" s="9" t="s">
        <v>465</v>
      </c>
      <c r="D69" s="8" t="s">
        <v>362</v>
      </c>
      <c r="E69" s="8" t="s">
        <v>363</v>
      </c>
      <c r="F69" s="8" t="s">
        <v>535</v>
      </c>
    </row>
    <row r="70" customFormat="false" ht="15" hidden="false" customHeight="false" outlineLevel="0" collapsed="false">
      <c r="A70" s="8" t="s">
        <v>346</v>
      </c>
      <c r="B70" s="8" t="s">
        <v>347</v>
      </c>
      <c r="C70" s="9" t="s">
        <v>465</v>
      </c>
      <c r="D70" s="8" t="s">
        <v>203</v>
      </c>
      <c r="E70" s="8" t="s">
        <v>204</v>
      </c>
      <c r="F70" s="8" t="s">
        <v>536</v>
      </c>
    </row>
    <row r="71" customFormat="false" ht="15" hidden="false" customHeight="false" outlineLevel="0" collapsed="false">
      <c r="A71" s="8" t="s">
        <v>354</v>
      </c>
      <c r="B71" s="8" t="s">
        <v>348</v>
      </c>
      <c r="C71" s="9" t="s">
        <v>468</v>
      </c>
      <c r="D71" s="8" t="s">
        <v>368</v>
      </c>
      <c r="E71" s="8" t="s">
        <v>369</v>
      </c>
      <c r="F71" s="8" t="s">
        <v>537</v>
      </c>
    </row>
    <row r="72" customFormat="false" ht="15" hidden="false" customHeight="false" outlineLevel="0" collapsed="false">
      <c r="A72" s="8" t="s">
        <v>354</v>
      </c>
      <c r="B72" s="8" t="s">
        <v>348</v>
      </c>
      <c r="C72" s="9" t="s">
        <v>468</v>
      </c>
      <c r="D72" s="8" t="s">
        <v>374</v>
      </c>
      <c r="E72" s="8" t="s">
        <v>375</v>
      </c>
      <c r="F72" s="8" t="s">
        <v>538</v>
      </c>
    </row>
    <row r="73" customFormat="false" ht="15" hidden="false" customHeight="false" outlineLevel="0" collapsed="false">
      <c r="A73" s="8" t="s">
        <v>354</v>
      </c>
      <c r="B73" s="8" t="s">
        <v>348</v>
      </c>
      <c r="C73" s="9" t="s">
        <v>493</v>
      </c>
      <c r="D73" s="8" t="s">
        <v>379</v>
      </c>
      <c r="E73" s="8" t="s">
        <v>380</v>
      </c>
      <c r="F73" s="8" t="s">
        <v>539</v>
      </c>
    </row>
    <row r="74" customFormat="false" ht="15" hidden="false" customHeight="false" outlineLevel="0" collapsed="false">
      <c r="A74" s="8" t="s">
        <v>354</v>
      </c>
      <c r="B74" s="8" t="s">
        <v>348</v>
      </c>
      <c r="C74" s="9" t="s">
        <v>493</v>
      </c>
      <c r="D74" s="8" t="s">
        <v>393</v>
      </c>
      <c r="E74" s="8" t="s">
        <v>394</v>
      </c>
      <c r="F74" s="8" t="s">
        <v>540</v>
      </c>
    </row>
    <row r="75" customFormat="false" ht="15" hidden="false" customHeight="false" outlineLevel="0" collapsed="false">
      <c r="A75" s="8" t="s">
        <v>362</v>
      </c>
      <c r="B75" s="8" t="s">
        <v>363</v>
      </c>
      <c r="C75" s="9" t="s">
        <v>468</v>
      </c>
      <c r="D75" s="8" t="s">
        <v>374</v>
      </c>
      <c r="E75" s="8" t="s">
        <v>375</v>
      </c>
      <c r="F75" s="8" t="s">
        <v>541</v>
      </c>
    </row>
    <row r="76" customFormat="false" ht="15" hidden="false" customHeight="false" outlineLevel="0" collapsed="false">
      <c r="A76" s="8" t="s">
        <v>368</v>
      </c>
      <c r="B76" s="8" t="s">
        <v>369</v>
      </c>
      <c r="C76" s="9" t="s">
        <v>465</v>
      </c>
      <c r="D76" s="8" t="s">
        <v>409</v>
      </c>
      <c r="E76" s="8" t="s">
        <v>410</v>
      </c>
      <c r="F76" s="8" t="s">
        <v>542</v>
      </c>
    </row>
    <row r="77" customFormat="false" ht="15" hidden="false" customHeight="false" outlineLevel="0" collapsed="false">
      <c r="A77" s="8" t="s">
        <v>368</v>
      </c>
      <c r="B77" s="8" t="s">
        <v>369</v>
      </c>
      <c r="C77" s="9" t="s">
        <v>465</v>
      </c>
      <c r="D77" s="8" t="s">
        <v>418</v>
      </c>
      <c r="E77" s="8" t="s">
        <v>419</v>
      </c>
      <c r="F77" s="8" t="s">
        <v>543</v>
      </c>
    </row>
    <row r="78" customFormat="false" ht="15" hidden="false" customHeight="false" outlineLevel="0" collapsed="false">
      <c r="A78" s="8" t="s">
        <v>368</v>
      </c>
      <c r="B78" s="8" t="s">
        <v>369</v>
      </c>
      <c r="C78" s="9" t="s">
        <v>493</v>
      </c>
      <c r="D78" s="8" t="s">
        <v>434</v>
      </c>
      <c r="E78" s="8" t="s">
        <v>435</v>
      </c>
      <c r="F78" s="8" t="s">
        <v>544</v>
      </c>
    </row>
    <row r="79" customFormat="false" ht="15" hidden="false" customHeight="false" outlineLevel="0" collapsed="false">
      <c r="A79" s="8" t="s">
        <v>379</v>
      </c>
      <c r="B79" s="8" t="s">
        <v>380</v>
      </c>
      <c r="C79" s="9" t="s">
        <v>465</v>
      </c>
      <c r="D79" s="8" t="s">
        <v>387</v>
      </c>
      <c r="E79" s="8" t="s">
        <v>388</v>
      </c>
      <c r="F79" s="8" t="s">
        <v>545</v>
      </c>
    </row>
    <row r="80" customFormat="false" ht="15" hidden="false" customHeight="false" outlineLevel="0" collapsed="false">
      <c r="A80" s="8" t="s">
        <v>379</v>
      </c>
      <c r="B80" s="8" t="s">
        <v>380</v>
      </c>
      <c r="C80" s="9" t="s">
        <v>493</v>
      </c>
      <c r="D80" s="8" t="s">
        <v>320</v>
      </c>
      <c r="E80" s="8" t="s">
        <v>321</v>
      </c>
      <c r="F80" s="8" t="s">
        <v>546</v>
      </c>
    </row>
    <row r="81" customFormat="false" ht="15" hidden="false" customHeight="false" outlineLevel="0" collapsed="false">
      <c r="A81" s="8" t="s">
        <v>379</v>
      </c>
      <c r="B81" s="8" t="s">
        <v>380</v>
      </c>
      <c r="C81" s="9" t="s">
        <v>468</v>
      </c>
      <c r="D81" s="8" t="s">
        <v>117</v>
      </c>
      <c r="E81" s="8" t="s">
        <v>118</v>
      </c>
      <c r="F81" s="8" t="s">
        <v>547</v>
      </c>
    </row>
    <row r="82" customFormat="false" ht="15" hidden="false" customHeight="false" outlineLevel="0" collapsed="false">
      <c r="A82" s="8" t="s">
        <v>387</v>
      </c>
      <c r="B82" s="8" t="s">
        <v>388</v>
      </c>
      <c r="C82" s="9" t="s">
        <v>493</v>
      </c>
      <c r="D82" s="8" t="s">
        <v>441</v>
      </c>
      <c r="E82" s="8" t="s">
        <v>442</v>
      </c>
      <c r="F82" s="8" t="s">
        <v>548</v>
      </c>
    </row>
    <row r="83" customFormat="false" ht="15" hidden="false" customHeight="false" outlineLevel="0" collapsed="false">
      <c r="A83" s="8" t="s">
        <v>393</v>
      </c>
      <c r="B83" s="8" t="s">
        <v>394</v>
      </c>
      <c r="C83" s="9" t="s">
        <v>468</v>
      </c>
      <c r="D83" s="8" t="s">
        <v>402</v>
      </c>
      <c r="E83" s="8" t="s">
        <v>403</v>
      </c>
      <c r="F83" s="8" t="s">
        <v>549</v>
      </c>
    </row>
    <row r="84" customFormat="false" ht="15" hidden="false" customHeight="false" outlineLevel="0" collapsed="false">
      <c r="A84" s="8" t="s">
        <v>393</v>
      </c>
      <c r="B84" s="8" t="s">
        <v>394</v>
      </c>
      <c r="C84" s="9" t="s">
        <v>468</v>
      </c>
      <c r="D84" s="8" t="s">
        <v>450</v>
      </c>
      <c r="E84" s="8" t="s">
        <v>451</v>
      </c>
      <c r="F84" s="8" t="s">
        <v>550</v>
      </c>
    </row>
    <row r="85" customFormat="false" ht="15" hidden="false" customHeight="false" outlineLevel="0" collapsed="false">
      <c r="A85" s="8" t="s">
        <v>402</v>
      </c>
      <c r="B85" s="8" t="s">
        <v>403</v>
      </c>
      <c r="C85" s="9" t="s">
        <v>468</v>
      </c>
      <c r="D85" s="8" t="s">
        <v>312</v>
      </c>
      <c r="E85" s="8" t="s">
        <v>313</v>
      </c>
      <c r="F85" s="8" t="s">
        <v>551</v>
      </c>
    </row>
    <row r="86" customFormat="false" ht="15" hidden="false" customHeight="false" outlineLevel="0" collapsed="false">
      <c r="A86" s="8" t="s">
        <v>409</v>
      </c>
      <c r="B86" s="8" t="s">
        <v>410</v>
      </c>
      <c r="C86" s="9" t="s">
        <v>468</v>
      </c>
      <c r="D86" s="8" t="s">
        <v>441</v>
      </c>
      <c r="E86" s="8" t="s">
        <v>442</v>
      </c>
      <c r="F86" s="8" t="s">
        <v>552</v>
      </c>
    </row>
    <row r="87" customFormat="false" ht="15" hidden="false" customHeight="false" outlineLevel="0" collapsed="false">
      <c r="A87" s="8" t="s">
        <v>409</v>
      </c>
      <c r="B87" s="8" t="s">
        <v>410</v>
      </c>
      <c r="C87" s="9" t="s">
        <v>468</v>
      </c>
      <c r="D87" s="8" t="s">
        <v>450</v>
      </c>
      <c r="E87" s="8" t="s">
        <v>451</v>
      </c>
      <c r="F87" s="8" t="s">
        <v>553</v>
      </c>
    </row>
    <row r="88" customFormat="false" ht="15" hidden="false" customHeight="false" outlineLevel="0" collapsed="false">
      <c r="A88" s="8" t="s">
        <v>409</v>
      </c>
      <c r="B88" s="8" t="s">
        <v>410</v>
      </c>
      <c r="C88" s="9" t="s">
        <v>468</v>
      </c>
      <c r="D88" s="8" t="s">
        <v>117</v>
      </c>
      <c r="E88" s="8" t="s">
        <v>118</v>
      </c>
      <c r="F88" s="8" t="s">
        <v>554</v>
      </c>
    </row>
    <row r="89" customFormat="false" ht="15" hidden="false" customHeight="false" outlineLevel="0" collapsed="false">
      <c r="A89" s="8" t="s">
        <v>418</v>
      </c>
      <c r="B89" s="8" t="s">
        <v>419</v>
      </c>
      <c r="C89" s="9" t="s">
        <v>493</v>
      </c>
      <c r="D89" s="8" t="s">
        <v>402</v>
      </c>
      <c r="E89" s="8" t="s">
        <v>403</v>
      </c>
      <c r="F89" s="8" t="s">
        <v>555</v>
      </c>
    </row>
    <row r="90" customFormat="false" ht="15" hidden="false" customHeight="false" outlineLevel="0" collapsed="false">
      <c r="A90" s="8" t="s">
        <v>429</v>
      </c>
      <c r="B90" s="8" t="s">
        <v>430</v>
      </c>
      <c r="C90" s="9" t="s">
        <v>468</v>
      </c>
      <c r="D90" s="8" t="s">
        <v>261</v>
      </c>
      <c r="E90" s="8" t="s">
        <v>262</v>
      </c>
      <c r="F90" s="8" t="s">
        <v>556</v>
      </c>
    </row>
    <row r="91" customFormat="false" ht="15" hidden="false" customHeight="false" outlineLevel="0" collapsed="false">
      <c r="A91" s="8" t="s">
        <v>429</v>
      </c>
      <c r="B91" s="8" t="s">
        <v>430</v>
      </c>
      <c r="C91" s="9" t="s">
        <v>468</v>
      </c>
      <c r="D91" s="8" t="s">
        <v>267</v>
      </c>
      <c r="E91" s="8" t="s">
        <v>268</v>
      </c>
      <c r="F91" s="8" t="s">
        <v>557</v>
      </c>
    </row>
    <row r="92" customFormat="false" ht="15" hidden="false" customHeight="false" outlineLevel="0" collapsed="false">
      <c r="A92" s="8" t="s">
        <v>441</v>
      </c>
      <c r="B92" s="8" t="s">
        <v>442</v>
      </c>
      <c r="C92" s="9" t="s">
        <v>468</v>
      </c>
      <c r="D92" s="8" t="s">
        <v>456</v>
      </c>
      <c r="E92" s="8" t="s">
        <v>457</v>
      </c>
      <c r="F92" s="8" t="s">
        <v>558</v>
      </c>
    </row>
    <row r="93" customFormat="false" ht="15" hidden="false" customHeight="false" outlineLevel="0" collapsed="false">
      <c r="A93" s="8" t="s">
        <v>441</v>
      </c>
      <c r="B93" s="8" t="s">
        <v>442</v>
      </c>
      <c r="C93" s="9" t="s">
        <v>468</v>
      </c>
      <c r="D93" s="8" t="s">
        <v>450</v>
      </c>
      <c r="E93" s="8" t="s">
        <v>451</v>
      </c>
      <c r="F93" s="8" t="s">
        <v>559</v>
      </c>
    </row>
    <row r="94" customFormat="false" ht="15" hidden="false" customHeight="false" outlineLevel="0" collapsed="false">
      <c r="A94" s="8" t="s">
        <v>300</v>
      </c>
      <c r="B94" s="8" t="s">
        <v>301</v>
      </c>
      <c r="C94" s="9" t="s">
        <v>560</v>
      </c>
      <c r="D94" s="8" t="s">
        <v>83</v>
      </c>
      <c r="E94" s="8" t="s">
        <v>84</v>
      </c>
      <c r="F94" s="8" t="s">
        <v>561</v>
      </c>
    </row>
    <row r="95" customFormat="false" ht="15" hidden="false" customHeight="false" outlineLevel="0" collapsed="false">
      <c r="A95" s="8" t="s">
        <v>379</v>
      </c>
      <c r="B95" s="8" t="s">
        <v>380</v>
      </c>
      <c r="C95" s="9" t="s">
        <v>562</v>
      </c>
      <c r="D95" s="8" t="s">
        <v>126</v>
      </c>
      <c r="E95" s="8" t="s">
        <v>127</v>
      </c>
      <c r="F95" s="8" t="s">
        <v>563</v>
      </c>
    </row>
    <row r="97" customFormat="false" ht="24" hidden="false" customHeight="true" outlineLevel="0" collapsed="false">
      <c r="A97" s="13" t="s">
        <v>564</v>
      </c>
      <c r="B97" s="13"/>
      <c r="C97" s="13"/>
      <c r="D97" s="13"/>
      <c r="E97" s="13"/>
      <c r="F97" s="13"/>
    </row>
  </sheetData>
  <autoFilter ref="A1:F95"/>
  <mergeCells count="1">
    <mergeCell ref="A97:F97"/>
  </mergeCells>
  <dataValidations count="1">
    <dataValidation allowBlank="true" errorStyle="stop" operator="between" showDropDown="false" showErrorMessage="false" showInputMessage="false" sqref="C2:C396" type="list">
      <formula1>"is made of,produces,reads,constrains,extends,reveals,overrides,conflicts with,answers"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18"/>
    <col collapsed="false" customWidth="true" hidden="false" outlineLevel="0" max="4" min="4" style="0" width="26"/>
    <col collapsed="false" customWidth="true" hidden="false" outlineLevel="0" max="5" min="5" style="0" width="12"/>
  </cols>
  <sheetData>
    <row r="1" customFormat="false" ht="31.5" hidden="false" customHeight="true" outlineLevel="0" collapsed="false">
      <c r="A1" s="13" t="s">
        <v>565</v>
      </c>
      <c r="B1" s="13"/>
      <c r="C1" s="13"/>
      <c r="D1" s="13"/>
      <c r="E1" s="13"/>
      <c r="F1" s="13"/>
    </row>
    <row r="3" customFormat="false" ht="15" hidden="false" customHeight="false" outlineLevel="0" collapsed="false">
      <c r="A3" s="14" t="s">
        <v>566</v>
      </c>
    </row>
    <row r="4" customFormat="false" ht="15" hidden="false" customHeight="false" outlineLevel="0" collapsed="false">
      <c r="A4" s="7" t="s">
        <v>567</v>
      </c>
      <c r="B4" s="7" t="s">
        <v>568</v>
      </c>
      <c r="C4" s="7" t="s">
        <v>569</v>
      </c>
      <c r="D4" s="7" t="s">
        <v>570</v>
      </c>
      <c r="E4" s="7" t="s">
        <v>571</v>
      </c>
    </row>
    <row r="5" customFormat="false" ht="15" hidden="false" customHeight="false" outlineLevel="0" collapsed="false">
      <c r="A5" s="8" t="s">
        <v>572</v>
      </c>
      <c r="B5" s="8" t="s">
        <v>573</v>
      </c>
      <c r="C5" s="8" t="s">
        <v>574</v>
      </c>
      <c r="D5" s="8" t="s">
        <v>575</v>
      </c>
      <c r="E5" s="8" t="s">
        <v>230</v>
      </c>
    </row>
    <row r="6" customFormat="false" ht="15" hidden="false" customHeight="false" outlineLevel="0" collapsed="false">
      <c r="A6" s="8" t="s">
        <v>576</v>
      </c>
      <c r="B6" s="8" t="s">
        <v>577</v>
      </c>
      <c r="C6" s="8" t="s">
        <v>574</v>
      </c>
      <c r="D6" s="8" t="s">
        <v>575</v>
      </c>
      <c r="E6" s="8" t="s">
        <v>230</v>
      </c>
    </row>
    <row r="7" customFormat="false" ht="15" hidden="false" customHeight="false" outlineLevel="0" collapsed="false">
      <c r="A7" s="8" t="s">
        <v>578</v>
      </c>
      <c r="B7" s="8" t="s">
        <v>579</v>
      </c>
      <c r="C7" s="8" t="s">
        <v>580</v>
      </c>
      <c r="D7" s="8" t="s">
        <v>581</v>
      </c>
      <c r="E7" s="8" t="s">
        <v>393</v>
      </c>
    </row>
    <row r="8" customFormat="false" ht="24" hidden="false" customHeight="false" outlineLevel="0" collapsed="false">
      <c r="A8" s="8" t="s">
        <v>582</v>
      </c>
      <c r="B8" s="8" t="s">
        <v>583</v>
      </c>
      <c r="C8" s="8" t="s">
        <v>584</v>
      </c>
      <c r="D8" s="8" t="s">
        <v>585</v>
      </c>
      <c r="E8" s="8" t="s">
        <v>409</v>
      </c>
    </row>
    <row r="9" customFormat="false" ht="24" hidden="false" customHeight="false" outlineLevel="0" collapsed="false">
      <c r="A9" s="8" t="s">
        <v>586</v>
      </c>
      <c r="B9" s="8" t="s">
        <v>587</v>
      </c>
      <c r="C9" s="8" t="s">
        <v>588</v>
      </c>
      <c r="D9" s="8" t="s">
        <v>581</v>
      </c>
      <c r="E9" s="8" t="s">
        <v>441</v>
      </c>
    </row>
    <row r="10" customFormat="false" ht="15" hidden="false" customHeight="false" outlineLevel="0" collapsed="false">
      <c r="A10" s="8" t="s">
        <v>589</v>
      </c>
      <c r="B10" s="8" t="s">
        <v>590</v>
      </c>
      <c r="C10" s="8" t="s">
        <v>591</v>
      </c>
      <c r="D10" s="8" t="s">
        <v>581</v>
      </c>
      <c r="E10" s="8" t="s">
        <v>340</v>
      </c>
    </row>
    <row r="11" customFormat="false" ht="15" hidden="false" customHeight="false" outlineLevel="0" collapsed="false">
      <c r="A11" s="8" t="s">
        <v>592</v>
      </c>
      <c r="B11" s="8" t="s">
        <v>593</v>
      </c>
      <c r="C11" s="8" t="s">
        <v>594</v>
      </c>
      <c r="D11" s="8" t="s">
        <v>581</v>
      </c>
      <c r="E11" s="8" t="s">
        <v>402</v>
      </c>
    </row>
    <row r="12" customFormat="false" ht="15" hidden="false" customHeight="false" outlineLevel="0" collapsed="false">
      <c r="A12" s="8" t="s">
        <v>595</v>
      </c>
      <c r="B12" s="8" t="s">
        <v>596</v>
      </c>
      <c r="C12" s="8" t="s">
        <v>597</v>
      </c>
      <c r="D12" s="8" t="s">
        <v>581</v>
      </c>
      <c r="E12" s="8" t="s">
        <v>379</v>
      </c>
    </row>
    <row r="13" customFormat="false" ht="15" hidden="false" customHeight="false" outlineLevel="0" collapsed="false">
      <c r="A13" s="8" t="s">
        <v>598</v>
      </c>
      <c r="B13" s="8" t="s">
        <v>599</v>
      </c>
      <c r="C13" s="8" t="s">
        <v>600</v>
      </c>
      <c r="D13" s="8" t="s">
        <v>581</v>
      </c>
      <c r="E13" s="8" t="s">
        <v>402</v>
      </c>
    </row>
    <row r="14" customFormat="false" ht="15" hidden="false" customHeight="false" outlineLevel="0" collapsed="false">
      <c r="A14" s="8" t="s">
        <v>601</v>
      </c>
      <c r="B14" s="8" t="s">
        <v>602</v>
      </c>
      <c r="C14" s="8" t="s">
        <v>63</v>
      </c>
      <c r="D14" s="8" t="s">
        <v>603</v>
      </c>
      <c r="E14" s="8" t="s">
        <v>63</v>
      </c>
    </row>
    <row r="16" customFormat="false" ht="15" hidden="false" customHeight="false" outlineLevel="0" collapsed="false">
      <c r="A16" s="14" t="s">
        <v>604</v>
      </c>
    </row>
    <row r="17" customFormat="false" ht="15" hidden="false" customHeight="false" outlineLevel="0" collapsed="false">
      <c r="A17" s="7" t="s">
        <v>605</v>
      </c>
      <c r="B17" s="7" t="s">
        <v>568</v>
      </c>
      <c r="C17" s="7" t="s">
        <v>570</v>
      </c>
    </row>
    <row r="18" customFormat="false" ht="15" hidden="false" customHeight="false" outlineLevel="0" collapsed="false">
      <c r="A18" s="8" t="s">
        <v>606</v>
      </c>
      <c r="B18" s="8" t="s">
        <v>607</v>
      </c>
      <c r="C18" s="8" t="s">
        <v>575</v>
      </c>
    </row>
    <row r="19" customFormat="false" ht="15" hidden="false" customHeight="false" outlineLevel="0" collapsed="false">
      <c r="A19" s="8" t="s">
        <v>608</v>
      </c>
      <c r="B19" s="8" t="s">
        <v>609</v>
      </c>
      <c r="C19" s="8" t="s">
        <v>575</v>
      </c>
    </row>
    <row r="20" customFormat="false" ht="15" hidden="false" customHeight="false" outlineLevel="0" collapsed="false">
      <c r="A20" s="8" t="s">
        <v>610</v>
      </c>
      <c r="B20" s="8" t="s">
        <v>611</v>
      </c>
      <c r="C20" s="8" t="s">
        <v>575</v>
      </c>
    </row>
    <row r="21" customFormat="false" ht="15" hidden="false" customHeight="false" outlineLevel="0" collapsed="false">
      <c r="A21" s="8" t="s">
        <v>612</v>
      </c>
      <c r="B21" s="8" t="s">
        <v>613</v>
      </c>
      <c r="C21" s="8" t="s">
        <v>614</v>
      </c>
    </row>
    <row r="22" customFormat="false" ht="15" hidden="false" customHeight="false" outlineLevel="0" collapsed="false">
      <c r="A22" s="8" t="s">
        <v>615</v>
      </c>
      <c r="B22" s="8" t="s">
        <v>616</v>
      </c>
      <c r="C22" s="8" t="s">
        <v>614</v>
      </c>
    </row>
    <row r="23" customFormat="false" ht="15" hidden="false" customHeight="false" outlineLevel="0" collapsed="false">
      <c r="A23" s="8" t="s">
        <v>617</v>
      </c>
      <c r="B23" s="8" t="s">
        <v>618</v>
      </c>
      <c r="C23" s="8" t="s">
        <v>581</v>
      </c>
    </row>
    <row r="24" customFormat="false" ht="15" hidden="false" customHeight="false" outlineLevel="0" collapsed="false">
      <c r="A24" s="8" t="s">
        <v>619</v>
      </c>
      <c r="B24" s="8" t="s">
        <v>620</v>
      </c>
      <c r="C24" s="8" t="s">
        <v>621</v>
      </c>
    </row>
    <row r="25" customFormat="false" ht="35" hidden="false" customHeight="false" outlineLevel="0" collapsed="false">
      <c r="A25" s="8" t="s">
        <v>622</v>
      </c>
      <c r="B25" s="8" t="s">
        <v>623</v>
      </c>
      <c r="C25" s="8" t="s">
        <v>624</v>
      </c>
    </row>
    <row r="26" customFormat="false" ht="24" hidden="false" customHeight="false" outlineLevel="0" collapsed="false">
      <c r="A26" s="8" t="s">
        <v>625</v>
      </c>
      <c r="B26" s="8" t="s">
        <v>626</v>
      </c>
      <c r="C26" s="8" t="s">
        <v>627</v>
      </c>
    </row>
    <row r="27" customFormat="false" ht="24" hidden="false" customHeight="false" outlineLevel="0" collapsed="false">
      <c r="A27" s="8" t="s">
        <v>628</v>
      </c>
      <c r="B27" s="8" t="s">
        <v>629</v>
      </c>
      <c r="C27" s="8" t="s">
        <v>630</v>
      </c>
    </row>
    <row r="29" customFormat="false" ht="15" hidden="false" customHeight="false" outlineLevel="0" collapsed="false">
      <c r="A29" s="14" t="s">
        <v>631</v>
      </c>
    </row>
    <row r="30" customFormat="false" ht="15" hidden="false" customHeight="false" outlineLevel="0" collapsed="false">
      <c r="A30" s="7" t="s">
        <v>632</v>
      </c>
      <c r="B30" s="7" t="s">
        <v>568</v>
      </c>
      <c r="C30" s="7" t="s">
        <v>570</v>
      </c>
    </row>
    <row r="31" customFormat="false" ht="15" hidden="false" customHeight="false" outlineLevel="0" collapsed="false">
      <c r="A31" s="8" t="s">
        <v>633</v>
      </c>
      <c r="B31" s="8" t="s">
        <v>634</v>
      </c>
      <c r="C31" s="8" t="s">
        <v>575</v>
      </c>
    </row>
    <row r="32" customFormat="false" ht="15" hidden="false" customHeight="false" outlineLevel="0" collapsed="false">
      <c r="A32" s="8" t="s">
        <v>635</v>
      </c>
      <c r="B32" s="8" t="s">
        <v>636</v>
      </c>
      <c r="C32" s="8" t="s">
        <v>614</v>
      </c>
    </row>
    <row r="33" customFormat="false" ht="24" hidden="false" customHeight="false" outlineLevel="0" collapsed="false">
      <c r="A33" s="8" t="s">
        <v>637</v>
      </c>
      <c r="B33" s="8" t="s">
        <v>638</v>
      </c>
      <c r="C33" s="8" t="s">
        <v>614</v>
      </c>
    </row>
    <row r="34" customFormat="false" ht="15" hidden="false" customHeight="false" outlineLevel="0" collapsed="false">
      <c r="A34" s="8" t="s">
        <v>639</v>
      </c>
      <c r="B34" s="8" t="s">
        <v>640</v>
      </c>
      <c r="C34" s="8" t="s">
        <v>581</v>
      </c>
    </row>
    <row r="35" customFormat="false" ht="24" hidden="false" customHeight="false" outlineLevel="0" collapsed="false">
      <c r="A35" s="8" t="s">
        <v>641</v>
      </c>
      <c r="B35" s="8" t="s">
        <v>642</v>
      </c>
      <c r="C35" s="8" t="s">
        <v>581</v>
      </c>
    </row>
    <row r="36" customFormat="false" ht="15" hidden="false" customHeight="false" outlineLevel="0" collapsed="false">
      <c r="A36" s="8" t="s">
        <v>643</v>
      </c>
      <c r="B36" s="8" t="s">
        <v>644</v>
      </c>
      <c r="C36" s="8" t="s">
        <v>581</v>
      </c>
    </row>
    <row r="37" customFormat="false" ht="15" hidden="false" customHeight="false" outlineLevel="0" collapsed="false">
      <c r="A37" s="8" t="s">
        <v>645</v>
      </c>
      <c r="B37" s="8" t="s">
        <v>646</v>
      </c>
      <c r="C37" s="8" t="s">
        <v>581</v>
      </c>
    </row>
    <row r="38" customFormat="false" ht="15" hidden="false" customHeight="false" outlineLevel="0" collapsed="false">
      <c r="A38" s="8" t="s">
        <v>647</v>
      </c>
      <c r="B38" s="8" t="s">
        <v>648</v>
      </c>
      <c r="C38" s="8" t="s">
        <v>581</v>
      </c>
    </row>
    <row r="39" customFormat="false" ht="15" hidden="false" customHeight="false" outlineLevel="0" collapsed="false">
      <c r="A39" s="8" t="s">
        <v>649</v>
      </c>
      <c r="B39" s="8" t="s">
        <v>650</v>
      </c>
      <c r="C39" s="8" t="s">
        <v>581</v>
      </c>
    </row>
    <row r="40" customFormat="false" ht="15" hidden="false" customHeight="false" outlineLevel="0" collapsed="false">
      <c r="A40" s="8" t="s">
        <v>651</v>
      </c>
      <c r="B40" s="8" t="s">
        <v>652</v>
      </c>
      <c r="C40" s="8" t="s">
        <v>581</v>
      </c>
    </row>
    <row r="41" customFormat="false" ht="24" hidden="false" customHeight="false" outlineLevel="0" collapsed="false">
      <c r="A41" s="8" t="s">
        <v>653</v>
      </c>
      <c r="B41" s="8" t="s">
        <v>654</v>
      </c>
      <c r="C41" s="8" t="s">
        <v>581</v>
      </c>
    </row>
    <row r="42" customFormat="false" ht="15" hidden="false" customHeight="false" outlineLevel="0" collapsed="false">
      <c r="A42" s="8" t="s">
        <v>655</v>
      </c>
      <c r="B42" s="8" t="s">
        <v>656</v>
      </c>
      <c r="C42" s="8" t="s">
        <v>581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0"/>
    <col collapsed="false" customWidth="true" hidden="false" outlineLevel="0" max="4" min="4" style="0" width="14"/>
    <col collapsed="false" customWidth="true" hidden="false" outlineLevel="0" max="5" min="5" style="0" width="20"/>
    <col collapsed="false" customWidth="true" hidden="false" outlineLevel="0" max="6" min="6" style="0" width="16"/>
    <col collapsed="false" customWidth="true" hidden="false" outlineLevel="0" max="7" min="7" style="0" width="7"/>
    <col collapsed="false" customWidth="true" hidden="false" outlineLevel="0" max="8" min="8" style="0" width="18"/>
    <col collapsed="false" customWidth="true" hidden="false" outlineLevel="0" max="9" min="9" style="0" width="14"/>
    <col collapsed="false" customWidth="true" hidden="false" outlineLevel="0" max="10" min="10" style="0" width="9"/>
    <col collapsed="false" customWidth="true" hidden="false" outlineLevel="0" max="11" min="11" style="0" width="10"/>
    <col collapsed="false" customWidth="true" hidden="false" outlineLevel="0" max="12" min="12" style="0" width="18"/>
    <col collapsed="false" customWidth="true" hidden="false" outlineLevel="0" max="13" min="13" style="0" width="36"/>
    <col collapsed="false" customWidth="true" hidden="false" outlineLevel="0" max="15" min="14" style="0" width="40"/>
    <col collapsed="false" customWidth="true" hidden="false" outlineLevel="0" max="16" min="16" style="0" width="44"/>
  </cols>
  <sheetData>
    <row r="1" customFormat="false" ht="31.5" hidden="false" customHeight="true" outlineLevel="0" collapsed="false">
      <c r="A1" s="13" t="s">
        <v>657</v>
      </c>
      <c r="B1" s="13"/>
      <c r="C1" s="13"/>
      <c r="D1" s="13"/>
      <c r="E1" s="13"/>
      <c r="F1" s="13"/>
      <c r="G1" s="13"/>
      <c r="H1" s="13"/>
      <c r="I1" s="13"/>
      <c r="J1" s="13"/>
      <c r="K1" s="13"/>
      <c r="L1" s="13"/>
      <c r="M1" s="13"/>
      <c r="N1" s="13"/>
      <c r="O1" s="13"/>
      <c r="P1" s="13"/>
    </row>
    <row r="3" customFormat="false" ht="24" hidden="false" customHeight="false" outlineLevel="0" collapsed="false">
      <c r="A3" s="7" t="s">
        <v>42</v>
      </c>
      <c r="B3" s="7" t="s">
        <v>43</v>
      </c>
      <c r="C3" s="7" t="s">
        <v>658</v>
      </c>
      <c r="D3" s="7" t="s">
        <v>659</v>
      </c>
      <c r="E3" s="7" t="s">
        <v>660</v>
      </c>
      <c r="F3" s="7" t="s">
        <v>661</v>
      </c>
      <c r="G3" s="7" t="s">
        <v>662</v>
      </c>
      <c r="H3" s="7" t="s">
        <v>663</v>
      </c>
      <c r="I3" s="7" t="s">
        <v>664</v>
      </c>
      <c r="J3" s="7" t="s">
        <v>665</v>
      </c>
      <c r="K3" s="7" t="s">
        <v>666</v>
      </c>
      <c r="L3" s="7" t="s">
        <v>667</v>
      </c>
      <c r="M3" s="7" t="s">
        <v>443</v>
      </c>
      <c r="N3" s="7" t="s">
        <v>632</v>
      </c>
      <c r="O3" s="7" t="s">
        <v>668</v>
      </c>
      <c r="P3" s="7" t="s">
        <v>53</v>
      </c>
    </row>
    <row r="4" customFormat="false" ht="24" hidden="false" customHeight="false" outlineLevel="0" collapsed="false">
      <c r="A4" s="8" t="s">
        <v>669</v>
      </c>
      <c r="B4" s="8" t="s">
        <v>410</v>
      </c>
      <c r="C4" s="8" t="s">
        <v>670</v>
      </c>
      <c r="D4" s="8" t="s">
        <v>671</v>
      </c>
      <c r="E4" s="8" t="s">
        <v>672</v>
      </c>
      <c r="F4" s="8" t="s">
        <v>673</v>
      </c>
      <c r="G4" s="15" t="s">
        <v>674</v>
      </c>
      <c r="H4" s="15" t="s">
        <v>674</v>
      </c>
      <c r="I4" s="15" t="s">
        <v>674</v>
      </c>
      <c r="J4" s="15" t="s">
        <v>674</v>
      </c>
      <c r="K4" s="15" t="s">
        <v>674</v>
      </c>
      <c r="L4" s="8" t="s">
        <v>675</v>
      </c>
      <c r="M4" s="8" t="s">
        <v>676</v>
      </c>
      <c r="N4" s="8" t="s">
        <v>677</v>
      </c>
      <c r="O4" s="8" t="s">
        <v>678</v>
      </c>
      <c r="P4" s="8" t="s">
        <v>679</v>
      </c>
    </row>
    <row r="5" customFormat="false" ht="24" hidden="false" customHeight="false" outlineLevel="0" collapsed="false">
      <c r="A5" s="8" t="s">
        <v>680</v>
      </c>
      <c r="B5" s="8" t="s">
        <v>681</v>
      </c>
      <c r="C5" s="8" t="s">
        <v>670</v>
      </c>
      <c r="D5" s="8" t="s">
        <v>671</v>
      </c>
      <c r="E5" s="8" t="s">
        <v>682</v>
      </c>
      <c r="F5" s="8" t="s">
        <v>673</v>
      </c>
      <c r="G5" s="15" t="s">
        <v>674</v>
      </c>
      <c r="H5" s="15" t="s">
        <v>683</v>
      </c>
      <c r="I5" s="15" t="s">
        <v>684</v>
      </c>
      <c r="J5" s="15" t="s">
        <v>674</v>
      </c>
      <c r="K5" s="15" t="s">
        <v>674</v>
      </c>
      <c r="L5" s="8" t="s">
        <v>685</v>
      </c>
      <c r="M5" s="8" t="s">
        <v>63</v>
      </c>
      <c r="N5" s="8" t="s">
        <v>686</v>
      </c>
      <c r="O5" s="8" t="s">
        <v>687</v>
      </c>
      <c r="P5" s="8" t="s">
        <v>688</v>
      </c>
    </row>
    <row r="6" customFormat="false" ht="24" hidden="false" customHeight="false" outlineLevel="0" collapsed="false">
      <c r="A6" s="8" t="s">
        <v>689</v>
      </c>
      <c r="B6" s="8" t="s">
        <v>690</v>
      </c>
      <c r="C6" s="8" t="s">
        <v>580</v>
      </c>
      <c r="D6" s="8" t="s">
        <v>671</v>
      </c>
      <c r="E6" s="8" t="s">
        <v>691</v>
      </c>
      <c r="F6" s="8" t="s">
        <v>692</v>
      </c>
      <c r="G6" s="9" t="s">
        <v>691</v>
      </c>
      <c r="H6" s="9" t="s">
        <v>691</v>
      </c>
      <c r="I6" s="15" t="s">
        <v>693</v>
      </c>
      <c r="J6" s="15" t="s">
        <v>674</v>
      </c>
      <c r="K6" s="15" t="s">
        <v>674</v>
      </c>
      <c r="L6" s="8" t="s">
        <v>685</v>
      </c>
      <c r="M6" s="8" t="s">
        <v>694</v>
      </c>
      <c r="N6" s="8" t="s">
        <v>695</v>
      </c>
      <c r="O6" s="8" t="s">
        <v>696</v>
      </c>
      <c r="P6" s="8" t="s">
        <v>697</v>
      </c>
    </row>
    <row r="7" customFormat="false" ht="24" hidden="false" customHeight="false" outlineLevel="0" collapsed="false">
      <c r="A7" s="8" t="s">
        <v>698</v>
      </c>
      <c r="B7" s="8" t="s">
        <v>699</v>
      </c>
      <c r="C7" s="8" t="s">
        <v>670</v>
      </c>
      <c r="D7" s="8" t="s">
        <v>671</v>
      </c>
      <c r="E7" s="8" t="s">
        <v>682</v>
      </c>
      <c r="F7" s="8" t="s">
        <v>673</v>
      </c>
      <c r="G7" s="15" t="s">
        <v>674</v>
      </c>
      <c r="H7" s="15" t="s">
        <v>700</v>
      </c>
      <c r="I7" s="15" t="s">
        <v>674</v>
      </c>
      <c r="J7" s="15" t="s">
        <v>674</v>
      </c>
      <c r="K7" s="15" t="s">
        <v>674</v>
      </c>
      <c r="L7" s="8" t="s">
        <v>685</v>
      </c>
      <c r="M7" s="8" t="s">
        <v>63</v>
      </c>
      <c r="N7" s="8" t="s">
        <v>701</v>
      </c>
      <c r="O7" s="8" t="s">
        <v>687</v>
      </c>
      <c r="P7" s="8" t="s">
        <v>702</v>
      </c>
    </row>
    <row r="8" customFormat="false" ht="15" hidden="false" customHeight="false" outlineLevel="0" collapsed="false">
      <c r="A8" s="8" t="s">
        <v>703</v>
      </c>
      <c r="B8" s="8" t="s">
        <v>704</v>
      </c>
      <c r="C8" s="16" t="s">
        <v>674</v>
      </c>
      <c r="D8" s="8" t="s">
        <v>705</v>
      </c>
      <c r="E8" s="16" t="s">
        <v>674</v>
      </c>
      <c r="F8" s="16" t="s">
        <v>674</v>
      </c>
      <c r="G8" s="15" t="s">
        <v>674</v>
      </c>
      <c r="H8" s="15" t="s">
        <v>674</v>
      </c>
      <c r="I8" s="15" t="s">
        <v>674</v>
      </c>
      <c r="J8" s="15" t="s">
        <v>674</v>
      </c>
      <c r="K8" s="15" t="s">
        <v>674</v>
      </c>
      <c r="L8" s="16" t="s">
        <v>674</v>
      </c>
      <c r="M8" s="16" t="s">
        <v>674</v>
      </c>
      <c r="N8" s="16" t="s">
        <v>674</v>
      </c>
      <c r="O8" s="8" t="s">
        <v>706</v>
      </c>
      <c r="P8" s="8" t="s">
        <v>707</v>
      </c>
    </row>
    <row r="9" customFormat="false" ht="15" hidden="false" customHeight="false" outlineLevel="0" collapsed="false">
      <c r="A9" s="8" t="s">
        <v>708</v>
      </c>
      <c r="B9" s="8" t="s">
        <v>709</v>
      </c>
      <c r="C9" s="16" t="s">
        <v>674</v>
      </c>
      <c r="D9" s="8" t="s">
        <v>710</v>
      </c>
      <c r="E9" s="16" t="s">
        <v>674</v>
      </c>
      <c r="F9" s="16" t="s">
        <v>674</v>
      </c>
      <c r="G9" s="15" t="s">
        <v>674</v>
      </c>
      <c r="H9" s="15" t="s">
        <v>674</v>
      </c>
      <c r="I9" s="15" t="s">
        <v>674</v>
      </c>
      <c r="J9" s="15" t="s">
        <v>674</v>
      </c>
      <c r="K9" s="15" t="s">
        <v>674</v>
      </c>
      <c r="L9" s="16" t="s">
        <v>674</v>
      </c>
      <c r="M9" s="16" t="s">
        <v>674</v>
      </c>
      <c r="N9" s="16" t="s">
        <v>674</v>
      </c>
      <c r="O9" s="8" t="s">
        <v>706</v>
      </c>
      <c r="P9" s="8" t="s">
        <v>711</v>
      </c>
    </row>
    <row r="10" customFormat="false" ht="15" hidden="false" customHeight="false" outlineLevel="0" collapsed="false">
      <c r="A10" s="8" t="s">
        <v>712</v>
      </c>
      <c r="B10" s="8" t="s">
        <v>713</v>
      </c>
      <c r="C10" s="16" t="s">
        <v>674</v>
      </c>
      <c r="D10" s="8" t="s">
        <v>714</v>
      </c>
      <c r="E10" s="16" t="s">
        <v>674</v>
      </c>
      <c r="F10" s="16" t="s">
        <v>674</v>
      </c>
      <c r="G10" s="15" t="s">
        <v>674</v>
      </c>
      <c r="H10" s="15" t="s">
        <v>674</v>
      </c>
      <c r="I10" s="15" t="s">
        <v>674</v>
      </c>
      <c r="J10" s="15" t="s">
        <v>674</v>
      </c>
      <c r="K10" s="15" t="s">
        <v>674</v>
      </c>
      <c r="L10" s="16" t="s">
        <v>674</v>
      </c>
      <c r="M10" s="16" t="s">
        <v>674</v>
      </c>
      <c r="N10" s="16" t="s">
        <v>674</v>
      </c>
      <c r="O10" s="8" t="s">
        <v>706</v>
      </c>
      <c r="P10" s="8" t="s">
        <v>715</v>
      </c>
    </row>
  </sheetData>
  <autoFilter ref="A3:P10"/>
  <mergeCells count="1">
    <mergeCell ref="A1:P1"/>
  </mergeCells>
  <dataValidations count="2">
    <dataValidation allowBlank="true" errorStyle="stop" operator="between" showDropDown="false" showErrorMessage="false" showInputMessage="false" sqref="C4:C111" type="list">
      <formula1>"structure,trap,TBD"</formula1>
      <formula2>0</formula2>
    </dataValidation>
    <dataValidation allowBlank="true" errorStyle="stop" operator="between" showDropDown="false" showErrorMessage="false" showInputMessage="false" sqref="E4:E111" type="list">
      <formula1>"autonomous,autonomous (no action),hero-directed,n/a,TBD"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4" min="3" style="0" width="10"/>
    <col collapsed="false" customWidth="true" hidden="false" outlineLevel="0" max="5" min="5" style="0" width="15"/>
    <col collapsed="false" customWidth="true" hidden="false" outlineLevel="0" max="6" min="6" style="0" width="8"/>
    <col collapsed="false" customWidth="true" hidden="false" outlineLevel="0" max="7" min="7" style="0" width="9"/>
    <col collapsed="false" customWidth="true" hidden="false" outlineLevel="0" max="8" min="8" style="0" width="8"/>
    <col collapsed="false" customWidth="true" hidden="false" outlineLevel="0" max="9" min="9" style="0" width="7"/>
    <col collapsed="false" customWidth="true" hidden="false" outlineLevel="0" max="10" min="10" style="0" width="8"/>
    <col collapsed="false" customWidth="true" hidden="false" outlineLevel="0" max="11" min="11" style="0" width="16"/>
    <col collapsed="false" customWidth="true" hidden="false" outlineLevel="0" max="12" min="12" style="0" width="9"/>
    <col collapsed="false" customWidth="true" hidden="false" outlineLevel="0" max="13" min="13" style="0" width="22"/>
    <col collapsed="false" customWidth="true" hidden="false" outlineLevel="0" max="14" min="14" style="0" width="18"/>
    <col collapsed="false" customWidth="true" hidden="false" outlineLevel="0" max="15" min="15" style="0" width="26"/>
    <col collapsed="false" customWidth="true" hidden="false" outlineLevel="0" max="16" min="16" style="0" width="12"/>
    <col collapsed="false" customWidth="true" hidden="false" outlineLevel="0" max="17" min="17" style="0" width="22"/>
  </cols>
  <sheetData>
    <row r="1" customFormat="false" ht="31.5" hidden="false" customHeight="true" outlineLevel="0" collapsed="false">
      <c r="A1" s="13" t="s">
        <v>716</v>
      </c>
      <c r="B1" s="13"/>
      <c r="C1" s="13"/>
      <c r="D1" s="13"/>
      <c r="E1" s="13"/>
      <c r="F1" s="13"/>
      <c r="G1" s="13"/>
      <c r="H1" s="13"/>
      <c r="I1" s="13"/>
      <c r="J1" s="13"/>
      <c r="K1" s="13"/>
      <c r="L1" s="13"/>
      <c r="M1" s="13"/>
      <c r="N1" s="13"/>
      <c r="O1" s="13"/>
      <c r="P1" s="13"/>
    </row>
    <row r="3" customFormat="false" ht="35" hidden="false" customHeight="false" outlineLevel="0" collapsed="false">
      <c r="A3" s="7" t="s">
        <v>717</v>
      </c>
      <c r="B3" s="7" t="s">
        <v>43</v>
      </c>
      <c r="C3" s="7" t="s">
        <v>718</v>
      </c>
      <c r="D3" s="7" t="s">
        <v>719</v>
      </c>
      <c r="E3" s="7" t="s">
        <v>720</v>
      </c>
      <c r="F3" s="7" t="s">
        <v>721</v>
      </c>
      <c r="G3" s="7" t="s">
        <v>722</v>
      </c>
      <c r="H3" s="7" t="s">
        <v>723</v>
      </c>
      <c r="I3" s="7" t="s">
        <v>724</v>
      </c>
      <c r="J3" s="7" t="s">
        <v>725</v>
      </c>
      <c r="K3" s="7" t="s">
        <v>726</v>
      </c>
      <c r="L3" s="7" t="s">
        <v>727</v>
      </c>
      <c r="M3" s="7" t="s">
        <v>728</v>
      </c>
      <c r="N3" s="7" t="s">
        <v>729</v>
      </c>
      <c r="O3" s="7" t="s">
        <v>730</v>
      </c>
      <c r="P3" s="7" t="s">
        <v>731</v>
      </c>
      <c r="Q3" s="7" t="s">
        <v>732</v>
      </c>
    </row>
    <row r="4" customFormat="false" ht="15" hidden="false" customHeight="false" outlineLevel="0" collapsed="false">
      <c r="A4" s="8" t="s">
        <v>733</v>
      </c>
      <c r="B4" s="8" t="s">
        <v>734</v>
      </c>
      <c r="C4" s="8" t="s">
        <v>735</v>
      </c>
      <c r="D4" s="8" t="s">
        <v>735</v>
      </c>
      <c r="E4" s="8" t="s">
        <v>736</v>
      </c>
      <c r="F4" s="9" t="n">
        <v>1</v>
      </c>
      <c r="G4" s="9"/>
      <c r="H4" s="8"/>
      <c r="I4" s="9"/>
      <c r="J4" s="9"/>
      <c r="K4" s="8" t="s">
        <v>737</v>
      </c>
      <c r="L4" s="9" t="n">
        <v>1</v>
      </c>
      <c r="M4" s="8" t="s">
        <v>738</v>
      </c>
      <c r="N4" s="8"/>
      <c r="O4" s="8" t="s">
        <v>739</v>
      </c>
      <c r="P4" s="17" t="str">
        <f aca="false">IF(G4="","",G4/F4)</f>
        <v/>
      </c>
      <c r="Q4" s="18" t="str">
        <f aca="false">IF(G4="","",ROUNDUP(Tunables!$C$27/(G4+IF(H4="weapon",Tunables!$C$5+2,Tunables!$C$6+3)),0))</f>
        <v/>
      </c>
    </row>
    <row r="5" customFormat="false" ht="15" hidden="false" customHeight="false" outlineLevel="0" collapsed="false">
      <c r="A5" s="8" t="s">
        <v>740</v>
      </c>
      <c r="B5" s="8" t="s">
        <v>741</v>
      </c>
      <c r="C5" s="8" t="s">
        <v>735</v>
      </c>
      <c r="D5" s="8" t="s">
        <v>735</v>
      </c>
      <c r="E5" s="8" t="s">
        <v>742</v>
      </c>
      <c r="F5" s="9" t="n">
        <v>1</v>
      </c>
      <c r="G5" s="9"/>
      <c r="H5" s="8"/>
      <c r="I5" s="9"/>
      <c r="J5" s="9"/>
      <c r="K5" s="8" t="s">
        <v>740</v>
      </c>
      <c r="L5" s="9" t="n">
        <v>2</v>
      </c>
      <c r="M5" s="8" t="s">
        <v>743</v>
      </c>
      <c r="N5" s="8"/>
      <c r="O5" s="8" t="s">
        <v>744</v>
      </c>
      <c r="P5" s="17" t="str">
        <f aca="false">IF(G5="","",G5/F5)</f>
        <v/>
      </c>
      <c r="Q5" s="18" t="str">
        <f aca="false">IF(G5="","",ROUNDUP(Tunables!$C$27/(G5+IF(H5="weapon",Tunables!$C$5+2,Tunables!$C$6+3)),0))</f>
        <v/>
      </c>
    </row>
    <row r="6" customFormat="false" ht="15" hidden="false" customHeight="false" outlineLevel="0" collapsed="false">
      <c r="A6" s="8" t="s">
        <v>745</v>
      </c>
      <c r="B6" s="8" t="s">
        <v>746</v>
      </c>
      <c r="C6" s="8" t="s">
        <v>735</v>
      </c>
      <c r="D6" s="8" t="s">
        <v>735</v>
      </c>
      <c r="E6" s="8" t="s">
        <v>747</v>
      </c>
      <c r="F6" s="9" t="n">
        <v>1</v>
      </c>
      <c r="G6" s="9"/>
      <c r="H6" s="8"/>
      <c r="I6" s="9"/>
      <c r="J6" s="9"/>
      <c r="K6" s="8" t="s">
        <v>745</v>
      </c>
      <c r="L6" s="9" t="n">
        <v>3</v>
      </c>
      <c r="M6" s="8" t="s">
        <v>748</v>
      </c>
      <c r="N6" s="8"/>
      <c r="O6" s="8" t="s">
        <v>749</v>
      </c>
      <c r="P6" s="17" t="str">
        <f aca="false">IF(G6="","",G6/F6)</f>
        <v/>
      </c>
      <c r="Q6" s="18" t="str">
        <f aca="false">IF(G6="","",ROUNDUP(Tunables!$C$27/(G6+IF(H6="weapon",Tunables!$C$5+2,Tunables!$C$6+3)),0))</f>
        <v/>
      </c>
    </row>
    <row r="7" customFormat="false" ht="15" hidden="false" customHeight="false" outlineLevel="0" collapsed="false">
      <c r="A7" s="8" t="s">
        <v>750</v>
      </c>
      <c r="B7" s="8" t="s">
        <v>751</v>
      </c>
      <c r="C7" s="8" t="s">
        <v>752</v>
      </c>
      <c r="D7" s="8" t="s">
        <v>753</v>
      </c>
      <c r="E7" s="8" t="s">
        <v>754</v>
      </c>
      <c r="F7" s="9" t="n">
        <v>1</v>
      </c>
      <c r="G7" s="9" t="n">
        <v>3</v>
      </c>
      <c r="H7" s="8" t="s">
        <v>753</v>
      </c>
      <c r="I7" s="9" t="n">
        <v>5</v>
      </c>
      <c r="J7" s="9" t="n">
        <v>1</v>
      </c>
      <c r="K7" s="8" t="s">
        <v>755</v>
      </c>
      <c r="L7" s="9"/>
      <c r="M7" s="8" t="s">
        <v>756</v>
      </c>
      <c r="N7" s="8" t="s">
        <v>757</v>
      </c>
      <c r="O7" s="8" t="s">
        <v>758</v>
      </c>
      <c r="P7" s="17" t="n">
        <f aca="false">IF(G7="","",G7/F7)</f>
        <v>3</v>
      </c>
      <c r="Q7" s="18" t="n">
        <f aca="false">IF(G7="","",ROUNDUP(Tunables!$C$27/(G7+IF(H7="weapon",Tunables!$C$5+2,Tunables!$C$6+3)),0))</f>
        <v>2</v>
      </c>
    </row>
    <row r="8" customFormat="false" ht="15" hidden="false" customHeight="false" outlineLevel="0" collapsed="false">
      <c r="A8" s="8" t="s">
        <v>759</v>
      </c>
      <c r="B8" s="8" t="s">
        <v>760</v>
      </c>
      <c r="C8" s="8" t="s">
        <v>752</v>
      </c>
      <c r="D8" s="8" t="s">
        <v>753</v>
      </c>
      <c r="E8" s="8" t="s">
        <v>754</v>
      </c>
      <c r="F8" s="9" t="n">
        <v>2</v>
      </c>
      <c r="G8" s="9" t="n">
        <v>6</v>
      </c>
      <c r="H8" s="8" t="s">
        <v>753</v>
      </c>
      <c r="I8" s="9" t="n">
        <v>5</v>
      </c>
      <c r="J8" s="9" t="n">
        <v>1</v>
      </c>
      <c r="K8" s="8" t="s">
        <v>761</v>
      </c>
      <c r="L8" s="9"/>
      <c r="M8" s="8" t="s">
        <v>756</v>
      </c>
      <c r="N8" s="8" t="s">
        <v>757</v>
      </c>
      <c r="O8" s="8" t="s">
        <v>762</v>
      </c>
      <c r="P8" s="17" t="n">
        <f aca="false">IF(G8="","",G8/F8)</f>
        <v>3</v>
      </c>
      <c r="Q8" s="18" t="n">
        <f aca="false">IF(G8="","",ROUNDUP(Tunables!$C$27/(G8+IF(H8="weapon",Tunables!$C$5+2,Tunables!$C$6+3)),0))</f>
        <v>2</v>
      </c>
    </row>
    <row r="9" customFormat="false" ht="15" hidden="false" customHeight="false" outlineLevel="0" collapsed="false">
      <c r="A9" s="8" t="s">
        <v>763</v>
      </c>
      <c r="B9" s="8" t="s">
        <v>764</v>
      </c>
      <c r="C9" s="8" t="s">
        <v>752</v>
      </c>
      <c r="D9" s="8" t="s">
        <v>753</v>
      </c>
      <c r="E9" s="8" t="s">
        <v>765</v>
      </c>
      <c r="F9" s="9" t="n">
        <v>1</v>
      </c>
      <c r="G9" s="9" t="n">
        <v>2</v>
      </c>
      <c r="H9" s="8" t="s">
        <v>753</v>
      </c>
      <c r="I9" s="9" t="n">
        <v>7</v>
      </c>
      <c r="J9" s="9" t="n">
        <v>1</v>
      </c>
      <c r="K9" s="8" t="s">
        <v>766</v>
      </c>
      <c r="L9" s="9"/>
      <c r="M9" s="8" t="s">
        <v>767</v>
      </c>
      <c r="N9" s="8" t="s">
        <v>757</v>
      </c>
      <c r="O9" s="8" t="s">
        <v>768</v>
      </c>
      <c r="P9" s="17" t="n">
        <f aca="false">IF(G9="","",G9/F9)</f>
        <v>2</v>
      </c>
      <c r="Q9" s="18" t="n">
        <f aca="false">IF(G9="","",ROUNDUP(Tunables!$C$27/(G9+IF(H9="weapon",Tunables!$C$5+2,Tunables!$C$6+3)),0))</f>
        <v>2</v>
      </c>
    </row>
    <row r="10" customFormat="false" ht="15" hidden="false" customHeight="false" outlineLevel="0" collapsed="false">
      <c r="A10" s="8" t="s">
        <v>769</v>
      </c>
      <c r="B10" s="8" t="s">
        <v>770</v>
      </c>
      <c r="C10" s="8" t="s">
        <v>752</v>
      </c>
      <c r="D10" s="8" t="s">
        <v>753</v>
      </c>
      <c r="E10" s="8" t="s">
        <v>765</v>
      </c>
      <c r="F10" s="9" t="n">
        <v>2</v>
      </c>
      <c r="G10" s="9" t="n">
        <v>5</v>
      </c>
      <c r="H10" s="8" t="s">
        <v>753</v>
      </c>
      <c r="I10" s="9" t="n">
        <v>7</v>
      </c>
      <c r="J10" s="9" t="n">
        <v>1</v>
      </c>
      <c r="K10" s="8" t="s">
        <v>766</v>
      </c>
      <c r="L10" s="9"/>
      <c r="M10" s="8" t="s">
        <v>767</v>
      </c>
      <c r="N10" s="8" t="s">
        <v>757</v>
      </c>
      <c r="O10" s="8" t="s">
        <v>771</v>
      </c>
      <c r="P10" s="17" t="n">
        <f aca="false">IF(G10="","",G10/F10)</f>
        <v>2.5</v>
      </c>
      <c r="Q10" s="18" t="n">
        <f aca="false">IF(G10="","",ROUNDUP(Tunables!$C$27/(G10+IF(H10="weapon",Tunables!$C$5+2,Tunables!$C$6+3)),0))</f>
        <v>2</v>
      </c>
    </row>
    <row r="11" customFormat="false" ht="15" hidden="false" customHeight="false" outlineLevel="0" collapsed="false">
      <c r="A11" s="8" t="s">
        <v>772</v>
      </c>
      <c r="B11" s="8" t="s">
        <v>773</v>
      </c>
      <c r="C11" s="8" t="s">
        <v>752</v>
      </c>
      <c r="D11" s="8" t="s">
        <v>774</v>
      </c>
      <c r="E11" s="8" t="s">
        <v>775</v>
      </c>
      <c r="F11" s="9" t="n">
        <v>2</v>
      </c>
      <c r="G11" s="9" t="n">
        <v>6</v>
      </c>
      <c r="H11" s="8" t="s">
        <v>774</v>
      </c>
      <c r="I11" s="9" t="n">
        <v>3</v>
      </c>
      <c r="J11" s="9" t="n">
        <v>1</v>
      </c>
      <c r="K11" s="8" t="s">
        <v>766</v>
      </c>
      <c r="L11" s="9"/>
      <c r="M11" s="8" t="s">
        <v>767</v>
      </c>
      <c r="N11" s="16" t="s">
        <v>776</v>
      </c>
      <c r="O11" s="8" t="s">
        <v>777</v>
      </c>
      <c r="P11" s="17" t="n">
        <f aca="false">IF(G11="","",G11/F11)</f>
        <v>3</v>
      </c>
      <c r="Q11" s="18" t="n">
        <f aca="false">IF(G11="","",ROUNDUP(Tunables!$C$27/(G11+IF(H11="weapon",Tunables!$C$5+2,Tunables!$C$6+3)),0))</f>
        <v>1</v>
      </c>
    </row>
    <row r="12" customFormat="false" ht="15" hidden="false" customHeight="false" outlineLevel="0" collapsed="false">
      <c r="A12" s="8" t="s">
        <v>778</v>
      </c>
      <c r="B12" s="8" t="s">
        <v>779</v>
      </c>
      <c r="C12" s="8" t="s">
        <v>752</v>
      </c>
      <c r="D12" s="8" t="s">
        <v>774</v>
      </c>
      <c r="E12" s="8" t="s">
        <v>775</v>
      </c>
      <c r="F12" s="9" t="n">
        <v>1</v>
      </c>
      <c r="G12" s="9" t="n">
        <v>2</v>
      </c>
      <c r="H12" s="8" t="s">
        <v>774</v>
      </c>
      <c r="I12" s="9" t="n">
        <v>2</v>
      </c>
      <c r="J12" s="9" t="n">
        <v>1</v>
      </c>
      <c r="K12" s="8" t="s">
        <v>766</v>
      </c>
      <c r="L12" s="9"/>
      <c r="M12" s="8" t="s">
        <v>767</v>
      </c>
      <c r="N12" s="16" t="s">
        <v>776</v>
      </c>
      <c r="O12" s="8" t="s">
        <v>780</v>
      </c>
      <c r="P12" s="17" t="n">
        <f aca="false">IF(G12="","",G12/F12)</f>
        <v>2</v>
      </c>
      <c r="Q12" s="18" t="n">
        <f aca="false">IF(G12="","",ROUNDUP(Tunables!$C$27/(G12+IF(H12="weapon",Tunables!$C$5+2,Tunables!$C$6+3)),0))</f>
        <v>2</v>
      </c>
    </row>
    <row r="13" customFormat="false" ht="15" hidden="false" customHeight="false" outlineLevel="0" collapsed="false">
      <c r="A13" s="8" t="s">
        <v>781</v>
      </c>
      <c r="B13" s="8" t="s">
        <v>782</v>
      </c>
      <c r="C13" s="8" t="s">
        <v>752</v>
      </c>
      <c r="D13" s="8" t="s">
        <v>753</v>
      </c>
      <c r="E13" s="8" t="s">
        <v>783</v>
      </c>
      <c r="F13" s="9" t="n">
        <v>1</v>
      </c>
      <c r="G13" s="9" t="n">
        <v>2</v>
      </c>
      <c r="H13" s="8" t="s">
        <v>753</v>
      </c>
      <c r="I13" s="9" t="n">
        <v>1</v>
      </c>
      <c r="J13" s="9" t="n">
        <v>1</v>
      </c>
      <c r="K13" s="8" t="s">
        <v>766</v>
      </c>
      <c r="L13" s="9"/>
      <c r="M13" s="8" t="s">
        <v>767</v>
      </c>
      <c r="N13" s="8" t="s">
        <v>757</v>
      </c>
      <c r="O13" s="8" t="s">
        <v>784</v>
      </c>
      <c r="P13" s="17" t="n">
        <f aca="false">IF(G13="","",G13/F13)</f>
        <v>2</v>
      </c>
      <c r="Q13" s="18" t="n">
        <f aca="false">IF(G13="","",ROUNDUP(Tunables!$C$27/(G13+IF(H13="weapon",Tunables!$C$5+2,Tunables!$C$6+3)),0))</f>
        <v>2</v>
      </c>
    </row>
    <row r="14" customFormat="false" ht="15" hidden="false" customHeight="false" outlineLevel="0" collapsed="false">
      <c r="A14" s="8" t="s">
        <v>785</v>
      </c>
      <c r="B14" s="8" t="s">
        <v>786</v>
      </c>
      <c r="C14" s="8" t="s">
        <v>752</v>
      </c>
      <c r="D14" s="8" t="s">
        <v>753</v>
      </c>
      <c r="E14" s="8" t="s">
        <v>783</v>
      </c>
      <c r="F14" s="9" t="n">
        <v>2</v>
      </c>
      <c r="G14" s="9" t="n">
        <v>5</v>
      </c>
      <c r="H14" s="8" t="s">
        <v>753</v>
      </c>
      <c r="I14" s="9" t="n">
        <v>1</v>
      </c>
      <c r="J14" s="9" t="n">
        <v>1</v>
      </c>
      <c r="K14" s="8" t="s">
        <v>766</v>
      </c>
      <c r="L14" s="9"/>
      <c r="M14" s="8" t="s">
        <v>767</v>
      </c>
      <c r="N14" s="8" t="s">
        <v>757</v>
      </c>
      <c r="O14" s="8" t="s">
        <v>787</v>
      </c>
      <c r="P14" s="17" t="n">
        <f aca="false">IF(G14="","",G14/F14)</f>
        <v>2.5</v>
      </c>
      <c r="Q14" s="18" t="n">
        <f aca="false">IF(G14="","",ROUNDUP(Tunables!$C$27/(G14+IF(H14="weapon",Tunables!$C$5+2,Tunables!$C$6+3)),0))</f>
        <v>2</v>
      </c>
    </row>
  </sheetData>
  <autoFilter ref="A3:Q14"/>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9"/>
    <col collapsed="false" customWidth="true" hidden="false" outlineLevel="0" max="5" min="5" style="0" width="6"/>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24"/>
    <col collapsed="false" customWidth="true" hidden="false" outlineLevel="0" max="11" min="11" style="0" width="14"/>
    <col collapsed="false" customWidth="true" hidden="false" outlineLevel="0" max="12" min="12" style="0" width="26"/>
  </cols>
  <sheetData>
    <row r="1" customFormat="false" ht="31.5" hidden="false" customHeight="true" outlineLevel="0" collapsed="false">
      <c r="A1" s="13" t="s">
        <v>788</v>
      </c>
      <c r="B1" s="13"/>
      <c r="C1" s="13"/>
      <c r="D1" s="13"/>
      <c r="E1" s="13"/>
      <c r="F1" s="13"/>
      <c r="G1" s="13"/>
      <c r="H1" s="13"/>
      <c r="I1" s="13"/>
      <c r="J1" s="13"/>
      <c r="K1" s="13"/>
      <c r="L1" s="13"/>
    </row>
    <row r="3" customFormat="false" ht="24" hidden="false" customHeight="false" outlineLevel="0" collapsed="false">
      <c r="A3" s="7" t="s">
        <v>717</v>
      </c>
      <c r="B3" s="7" t="s">
        <v>43</v>
      </c>
      <c r="C3" s="7" t="s">
        <v>789</v>
      </c>
      <c r="D3" s="7" t="s">
        <v>790</v>
      </c>
      <c r="E3" s="7" t="s">
        <v>662</v>
      </c>
      <c r="F3" s="7" t="s">
        <v>791</v>
      </c>
      <c r="G3" s="7" t="s">
        <v>792</v>
      </c>
      <c r="H3" s="7" t="s">
        <v>793</v>
      </c>
      <c r="I3" s="7" t="s">
        <v>794</v>
      </c>
      <c r="J3" s="7" t="s">
        <v>196</v>
      </c>
      <c r="K3" s="7" t="s">
        <v>795</v>
      </c>
      <c r="L3" s="7" t="s">
        <v>730</v>
      </c>
    </row>
    <row r="4" customFormat="false" ht="15" hidden="false" customHeight="false" outlineLevel="0" collapsed="false">
      <c r="A4" s="8" t="s">
        <v>754</v>
      </c>
      <c r="B4" s="8" t="s">
        <v>796</v>
      </c>
      <c r="C4" s="8" t="s">
        <v>753</v>
      </c>
      <c r="D4" s="8" t="s">
        <v>797</v>
      </c>
      <c r="E4" s="9" t="n">
        <v>0</v>
      </c>
      <c r="F4" s="9" t="n">
        <v>2</v>
      </c>
      <c r="G4" s="9" t="n">
        <v>0</v>
      </c>
      <c r="H4" s="9" t="n">
        <v>0</v>
      </c>
      <c r="I4" s="9" t="n">
        <v>0</v>
      </c>
      <c r="J4" s="8" t="s">
        <v>798</v>
      </c>
      <c r="K4" s="8" t="s">
        <v>799</v>
      </c>
      <c r="L4" s="8" t="s">
        <v>800</v>
      </c>
    </row>
    <row r="5" customFormat="false" ht="15" hidden="false" customHeight="false" outlineLevel="0" collapsed="false">
      <c r="A5" s="8" t="s">
        <v>765</v>
      </c>
      <c r="B5" s="8" t="s">
        <v>801</v>
      </c>
      <c r="C5" s="8" t="s">
        <v>753</v>
      </c>
      <c r="D5" s="8" t="s">
        <v>802</v>
      </c>
      <c r="E5" s="9" t="n">
        <v>0</v>
      </c>
      <c r="F5" s="9" t="n">
        <v>2</v>
      </c>
      <c r="G5" s="9" t="n">
        <v>0</v>
      </c>
      <c r="H5" s="9" t="n">
        <v>0</v>
      </c>
      <c r="I5" s="9" t="n">
        <v>0</v>
      </c>
      <c r="J5" s="8" t="s">
        <v>803</v>
      </c>
      <c r="K5" s="8" t="s">
        <v>804</v>
      </c>
      <c r="L5" s="8" t="s">
        <v>805</v>
      </c>
    </row>
    <row r="6" customFormat="false" ht="15" hidden="false" customHeight="false" outlineLevel="0" collapsed="false">
      <c r="A6" s="8" t="s">
        <v>775</v>
      </c>
      <c r="B6" s="8" t="s">
        <v>806</v>
      </c>
      <c r="C6" s="8" t="s">
        <v>807</v>
      </c>
      <c r="D6" s="8" t="s">
        <v>808</v>
      </c>
      <c r="E6" s="9" t="n">
        <v>0</v>
      </c>
      <c r="F6" s="9" t="n">
        <v>0</v>
      </c>
      <c r="G6" s="9" t="n">
        <v>3</v>
      </c>
      <c r="H6" s="9" t="n">
        <v>0</v>
      </c>
      <c r="I6" s="9" t="n">
        <v>0</v>
      </c>
      <c r="J6" s="8" t="s">
        <v>809</v>
      </c>
      <c r="K6" s="8" t="s">
        <v>807</v>
      </c>
      <c r="L6" s="8" t="s">
        <v>810</v>
      </c>
    </row>
    <row r="7" customFormat="false" ht="15" hidden="false" customHeight="false" outlineLevel="0" collapsed="false">
      <c r="A7" s="8" t="s">
        <v>742</v>
      </c>
      <c r="B7" s="8" t="s">
        <v>811</v>
      </c>
      <c r="C7" s="8" t="s">
        <v>812</v>
      </c>
      <c r="D7" s="8" t="s">
        <v>813</v>
      </c>
      <c r="E7" s="9" t="n">
        <v>0</v>
      </c>
      <c r="F7" s="9" t="n">
        <v>0</v>
      </c>
      <c r="G7" s="9" t="n">
        <v>0</v>
      </c>
      <c r="H7" s="9" t="n">
        <v>0</v>
      </c>
      <c r="I7" s="9" t="n">
        <v>0</v>
      </c>
      <c r="J7" s="8" t="s">
        <v>740</v>
      </c>
      <c r="K7" s="8" t="s">
        <v>812</v>
      </c>
      <c r="L7" s="8" t="s">
        <v>814</v>
      </c>
    </row>
    <row r="8" customFormat="false" ht="15" hidden="false" customHeight="false" outlineLevel="0" collapsed="false">
      <c r="A8" s="8" t="s">
        <v>747</v>
      </c>
      <c r="B8" s="8" t="s">
        <v>815</v>
      </c>
      <c r="C8" s="8" t="s">
        <v>812</v>
      </c>
      <c r="D8" s="8" t="s">
        <v>816</v>
      </c>
      <c r="E8" s="9" t="n">
        <v>0</v>
      </c>
      <c r="F8" s="9" t="n">
        <v>0</v>
      </c>
      <c r="G8" s="9" t="n">
        <v>0</v>
      </c>
      <c r="H8" s="9" t="n">
        <v>0</v>
      </c>
      <c r="I8" s="9" t="n">
        <v>0</v>
      </c>
      <c r="J8" s="8" t="s">
        <v>745</v>
      </c>
      <c r="K8" s="8" t="s">
        <v>812</v>
      </c>
      <c r="L8" s="8" t="s">
        <v>817</v>
      </c>
    </row>
    <row r="9" customFormat="false" ht="15" hidden="false" customHeight="false" outlineLevel="0" collapsed="false">
      <c r="A9" s="8" t="s">
        <v>818</v>
      </c>
      <c r="B9" s="8" t="s">
        <v>819</v>
      </c>
      <c r="C9" s="8" t="s">
        <v>820</v>
      </c>
      <c r="D9" s="8" t="s">
        <v>821</v>
      </c>
      <c r="E9" s="9" t="n">
        <v>8</v>
      </c>
      <c r="F9" s="9" t="n">
        <v>0</v>
      </c>
      <c r="G9" s="9" t="n">
        <v>0</v>
      </c>
      <c r="H9" s="9" t="n">
        <v>2</v>
      </c>
      <c r="I9" s="9" t="n">
        <v>2</v>
      </c>
      <c r="J9" s="8" t="s">
        <v>63</v>
      </c>
      <c r="K9" s="8" t="s">
        <v>820</v>
      </c>
      <c r="L9" s="8" t="s">
        <v>822</v>
      </c>
    </row>
    <row r="11" customFormat="false" ht="15" hidden="false" customHeight="false" outlineLevel="0" collapsed="false">
      <c r="A11" s="14" t="s">
        <v>823</v>
      </c>
    </row>
    <row r="12" customFormat="false" ht="15" hidden="false" customHeight="false" outlineLevel="0" collapsed="false">
      <c r="A12" s="6" t="s">
        <v>662</v>
      </c>
      <c r="B12" s="6" t="n">
        <f aca="false">Tunables!$C$4+SUMIF($A$4:$A$9,"longbow",E$4:E$9)+SUMIF($A$4:$A$9,"ember-circlet",E$4:E$9)+SUMIF($A$4:$A$9,"leaping-boots",E$4:E$9)+SUMIF($A$4:$A$9,"leather-jerkin",E$4:E$9)</f>
        <v>28</v>
      </c>
    </row>
    <row r="13" customFormat="false" ht="15" hidden="false" customHeight="false" outlineLevel="0" collapsed="false">
      <c r="A13" s="6" t="s">
        <v>824</v>
      </c>
      <c r="B13" s="6" t="n">
        <f aca="false">Tunables!$C$5+SUMIF($A$4:$A$9,"longbow",F$4:F$9)+SUMIF($A$4:$A$9,"ember-circlet",F$4:F$9)+SUMIF($A$4:$A$9,"leaping-boots",F$4:F$9)+SUMIF($A$4:$A$9,"leather-jerkin",F$4:F$9)</f>
        <v>3</v>
      </c>
    </row>
    <row r="14" customFormat="false" ht="15" hidden="false" customHeight="false" outlineLevel="0" collapsed="false">
      <c r="A14" s="6" t="s">
        <v>825</v>
      </c>
      <c r="B14" s="6" t="n">
        <f aca="false">Tunables!$C$6+SUMIF($A$4:$A$9,"longbow",G$4:G$9)+SUMIF($A$4:$A$9,"ember-circlet",G$4:G$9)+SUMIF($A$4:$A$9,"leaping-boots",G$4:G$9)+SUMIF($A$4:$A$9,"leather-jerkin",G$4:G$9)</f>
        <v>4</v>
      </c>
    </row>
    <row r="15" customFormat="false" ht="15" hidden="false" customHeight="false" outlineLevel="0" collapsed="false">
      <c r="A15" s="6" t="s">
        <v>826</v>
      </c>
      <c r="B15" s="6" t="n">
        <f aca="false">Tunables!$C$7+SUMIF($A$4:$A$9,"leather-jerkin",H$4:H$9)</f>
        <v>2</v>
      </c>
      <c r="C15" s="6" t="n">
        <f aca="false">Tunables!$C$8+SUMIF($A$4:$A$9,"leather-jerkin",I$4:I$9)</f>
        <v>2</v>
      </c>
    </row>
  </sheetData>
  <autoFilter ref="A3:L9"/>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0"/>
    <col collapsed="false" customWidth="true" hidden="false" outlineLevel="0" max="4" min="4" style="0" width="8"/>
    <col collapsed="false" customWidth="true" hidden="false" outlineLevel="0" max="6" min="5" style="0" width="16"/>
    <col collapsed="false" customWidth="true" hidden="false" outlineLevel="0" max="7" min="7" style="0" width="18"/>
    <col collapsed="false" customWidth="true" hidden="false" outlineLevel="0" max="8" min="8" style="0" width="14"/>
    <col collapsed="false" customWidth="true" hidden="false" outlineLevel="0" max="9" min="9" style="0" width="13"/>
    <col collapsed="false" customWidth="true" hidden="false" outlineLevel="0" max="10" min="10" style="0" width="10"/>
    <col collapsed="false" customWidth="true" hidden="false" outlineLevel="0" max="11" min="11" style="0" width="28"/>
  </cols>
  <sheetData>
    <row r="1" customFormat="false" ht="31.5" hidden="false" customHeight="true" outlineLevel="0" collapsed="false">
      <c r="A1" s="13" t="s">
        <v>827</v>
      </c>
      <c r="B1" s="13"/>
      <c r="C1" s="13"/>
      <c r="D1" s="13"/>
      <c r="E1" s="13"/>
      <c r="F1" s="13"/>
      <c r="G1" s="13"/>
      <c r="H1" s="13"/>
      <c r="I1" s="13"/>
      <c r="J1" s="13"/>
      <c r="K1" s="13"/>
    </row>
    <row r="3" customFormat="false" ht="24" hidden="false" customHeight="false" outlineLevel="0" collapsed="false">
      <c r="A3" s="7" t="s">
        <v>717</v>
      </c>
      <c r="B3" s="7" t="s">
        <v>43</v>
      </c>
      <c r="C3" s="7" t="s">
        <v>658</v>
      </c>
      <c r="D3" s="7" t="s">
        <v>828</v>
      </c>
      <c r="E3" s="7" t="s">
        <v>663</v>
      </c>
      <c r="F3" s="7" t="s">
        <v>829</v>
      </c>
      <c r="G3" s="7" t="s">
        <v>662</v>
      </c>
      <c r="H3" s="7" t="s">
        <v>793</v>
      </c>
      <c r="I3" s="7" t="s">
        <v>794</v>
      </c>
      <c r="J3" s="7" t="s">
        <v>570</v>
      </c>
      <c r="K3" s="7" t="s">
        <v>52</v>
      </c>
    </row>
    <row r="4" customFormat="false" ht="15" hidden="false" customHeight="false" outlineLevel="0" collapsed="false">
      <c r="A4" s="8" t="s">
        <v>830</v>
      </c>
      <c r="B4" s="8" t="s">
        <v>831</v>
      </c>
      <c r="C4" s="8" t="s">
        <v>830</v>
      </c>
      <c r="D4" s="8" t="s">
        <v>832</v>
      </c>
      <c r="E4" s="9" t="n">
        <v>6</v>
      </c>
      <c r="F4" s="9" t="n">
        <v>4</v>
      </c>
      <c r="G4" s="9" t="s">
        <v>833</v>
      </c>
      <c r="H4" s="9" t="s">
        <v>834</v>
      </c>
      <c r="I4" s="9" t="s">
        <v>834</v>
      </c>
      <c r="J4" s="8" t="s">
        <v>835</v>
      </c>
      <c r="K4" s="8" t="s">
        <v>836</v>
      </c>
    </row>
    <row r="5" customFormat="false" ht="15" hidden="false" customHeight="false" outlineLevel="0" collapsed="false">
      <c r="A5" s="8" t="s">
        <v>837</v>
      </c>
      <c r="B5" s="8" t="s">
        <v>838</v>
      </c>
      <c r="C5" s="8" t="s">
        <v>839</v>
      </c>
      <c r="D5" s="8" t="s">
        <v>840</v>
      </c>
      <c r="E5" s="9" t="n">
        <v>6</v>
      </c>
      <c r="F5" s="9" t="n">
        <v>3</v>
      </c>
      <c r="G5" s="9" t="n">
        <v>10</v>
      </c>
      <c r="H5" s="9" t="n">
        <v>0</v>
      </c>
      <c r="I5" s="9" t="n">
        <v>0</v>
      </c>
      <c r="J5" s="8" t="s">
        <v>835</v>
      </c>
      <c r="K5" s="8" t="s">
        <v>841</v>
      </c>
    </row>
    <row r="6" customFormat="false" ht="15" hidden="false" customHeight="false" outlineLevel="0" collapsed="false">
      <c r="A6" s="8" t="s">
        <v>842</v>
      </c>
      <c r="B6" s="8" t="s">
        <v>843</v>
      </c>
      <c r="C6" s="8" t="s">
        <v>839</v>
      </c>
      <c r="D6" s="8" t="s">
        <v>840</v>
      </c>
      <c r="E6" s="9" t="n">
        <v>6</v>
      </c>
      <c r="F6" s="9" t="n">
        <v>3</v>
      </c>
      <c r="G6" s="9" t="s">
        <v>844</v>
      </c>
      <c r="H6" s="9" t="s">
        <v>63</v>
      </c>
      <c r="I6" s="9" t="s">
        <v>63</v>
      </c>
      <c r="J6" s="8" t="s">
        <v>835</v>
      </c>
      <c r="K6" s="8" t="s">
        <v>845</v>
      </c>
    </row>
    <row r="7" customFormat="false" ht="15" hidden="false" customHeight="false" outlineLevel="0" collapsed="false">
      <c r="A7" s="8" t="s">
        <v>846</v>
      </c>
      <c r="B7" s="8" t="s">
        <v>847</v>
      </c>
      <c r="C7" s="8" t="s">
        <v>670</v>
      </c>
      <c r="D7" s="8" t="s">
        <v>848</v>
      </c>
      <c r="E7" s="15" t="s">
        <v>674</v>
      </c>
      <c r="F7" s="15" t="s">
        <v>674</v>
      </c>
      <c r="G7" s="15" t="s">
        <v>674</v>
      </c>
      <c r="H7" s="15" t="s">
        <v>674</v>
      </c>
      <c r="I7" s="15" t="s">
        <v>674</v>
      </c>
      <c r="J7" s="8" t="s">
        <v>31</v>
      </c>
      <c r="K7" s="8" t="s">
        <v>849</v>
      </c>
    </row>
    <row r="8" customFormat="false" ht="15" hidden="false" customHeight="false" outlineLevel="0" collapsed="false">
      <c r="A8" s="8" t="s">
        <v>850</v>
      </c>
      <c r="B8" s="8" t="s">
        <v>851</v>
      </c>
      <c r="C8" s="8" t="s">
        <v>670</v>
      </c>
      <c r="D8" s="8" t="s">
        <v>848</v>
      </c>
      <c r="E8" s="15" t="s">
        <v>852</v>
      </c>
      <c r="F8" s="15" t="s">
        <v>674</v>
      </c>
      <c r="G8" s="15" t="s">
        <v>674</v>
      </c>
      <c r="H8" s="15" t="s">
        <v>674</v>
      </c>
      <c r="I8" s="15" t="s">
        <v>674</v>
      </c>
      <c r="J8" s="8" t="s">
        <v>31</v>
      </c>
      <c r="K8" s="8" t="s">
        <v>853</v>
      </c>
    </row>
    <row r="9" customFormat="false" ht="15" hidden="false" customHeight="false" outlineLevel="0" collapsed="false">
      <c r="A9" s="8" t="s">
        <v>854</v>
      </c>
      <c r="B9" s="8" t="s">
        <v>855</v>
      </c>
      <c r="C9" s="8" t="s">
        <v>670</v>
      </c>
      <c r="D9" s="8" t="s">
        <v>848</v>
      </c>
      <c r="E9" s="15" t="s">
        <v>856</v>
      </c>
      <c r="F9" s="15" t="s">
        <v>674</v>
      </c>
      <c r="G9" s="15" t="s">
        <v>674</v>
      </c>
      <c r="H9" s="15" t="s">
        <v>674</v>
      </c>
      <c r="I9" s="15" t="s">
        <v>674</v>
      </c>
      <c r="J9" s="8" t="s">
        <v>31</v>
      </c>
      <c r="K9" s="8" t="s">
        <v>857</v>
      </c>
    </row>
    <row r="11" customFormat="false" ht="15" hidden="false" customHeight="false" outlineLevel="0" collapsed="false">
      <c r="A11" s="14" t="s">
        <v>858</v>
      </c>
    </row>
    <row r="12" customFormat="false" ht="15" hidden="false" customHeight="false" outlineLevel="0" collapsed="false">
      <c r="A12" s="6" t="s">
        <v>859</v>
      </c>
      <c r="B12" s="6" t="str">
        <f aca="false">IF(Tunables!$C$10&gt;=Tunables!$C$11,"blocks","does not block")</f>
        <v>blocks</v>
      </c>
    </row>
    <row r="13" customFormat="false" ht="15" hidden="false" customHeight="false" outlineLevel="0" collapsed="false">
      <c r="A13" s="6" t="s">
        <v>860</v>
      </c>
      <c r="B13" s="6" t="str">
        <f aca="false">IF(Tunables!$C$9*1&gt;=Tunables!$C$11,"blocks","does not block")</f>
        <v>does not block</v>
      </c>
    </row>
    <row r="14" customFormat="false" ht="15" hidden="false" customHeight="false" outlineLevel="0" collapsed="false">
      <c r="A14" s="6" t="s">
        <v>861</v>
      </c>
      <c r="B14" s="6" t="str">
        <f aca="false">IF(Tunables!$C$9*2&gt;=Tunables!$C$11,"blocks","does not block")</f>
        <v>blocks</v>
      </c>
    </row>
  </sheetData>
  <autoFilter ref="A3:K9"/>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2"/>
    <col collapsed="false" customWidth="true" hidden="false" outlineLevel="0" max="4" min="4" style="0" width="22"/>
    <col collapsed="false" customWidth="true" hidden="false" outlineLevel="0" max="5" min="5" style="0" width="12"/>
    <col collapsed="false" customWidth="true" hidden="false" outlineLevel="0" max="6" min="6" style="0" width="10"/>
    <col collapsed="false" customWidth="true" hidden="false" outlineLevel="0" max="7" min="7" style="0" width="28"/>
    <col collapsed="false" customWidth="true" hidden="false" outlineLevel="0" max="8" min="8" style="0" width="30"/>
  </cols>
  <sheetData>
    <row r="1" customFormat="false" ht="31.5" hidden="false" customHeight="true" outlineLevel="0" collapsed="false">
      <c r="A1" s="13" t="s">
        <v>862</v>
      </c>
      <c r="B1" s="13"/>
      <c r="C1" s="13"/>
      <c r="D1" s="13"/>
      <c r="E1" s="13"/>
      <c r="F1" s="13"/>
      <c r="G1" s="13"/>
      <c r="H1" s="13"/>
      <c r="I1" s="13"/>
    </row>
    <row r="3" customFormat="false" ht="24" hidden="false" customHeight="false" outlineLevel="0" collapsed="false">
      <c r="A3" s="7" t="s">
        <v>717</v>
      </c>
      <c r="B3" s="7" t="s">
        <v>43</v>
      </c>
      <c r="C3" s="7" t="s">
        <v>443</v>
      </c>
      <c r="D3" s="7" t="s">
        <v>863</v>
      </c>
      <c r="E3" s="7" t="s">
        <v>864</v>
      </c>
      <c r="F3" s="7" t="s">
        <v>865</v>
      </c>
      <c r="G3" s="7" t="s">
        <v>866</v>
      </c>
      <c r="H3" s="7" t="s">
        <v>730</v>
      </c>
    </row>
    <row r="4" customFormat="false" ht="15" hidden="false" customHeight="false" outlineLevel="0" collapsed="false">
      <c r="A4" s="8" t="s">
        <v>867</v>
      </c>
      <c r="B4" s="8" t="s">
        <v>149</v>
      </c>
      <c r="C4" s="8" t="s">
        <v>868</v>
      </c>
      <c r="D4" s="8" t="s">
        <v>610</v>
      </c>
      <c r="E4" s="9" t="n">
        <v>2</v>
      </c>
      <c r="F4" s="8" t="s">
        <v>869</v>
      </c>
      <c r="G4" s="8" t="s">
        <v>870</v>
      </c>
      <c r="H4" s="8" t="s">
        <v>152</v>
      </c>
    </row>
    <row r="5" customFormat="false" ht="15" hidden="false" customHeight="false" outlineLevel="0" collapsed="false">
      <c r="A5" s="8" t="s">
        <v>871</v>
      </c>
      <c r="B5" s="8" t="s">
        <v>872</v>
      </c>
      <c r="C5" s="8" t="s">
        <v>873</v>
      </c>
      <c r="D5" s="8" t="s">
        <v>874</v>
      </c>
      <c r="E5" s="9" t="n">
        <v>-2</v>
      </c>
      <c r="F5" s="8" t="s">
        <v>875</v>
      </c>
      <c r="G5" s="8" t="s">
        <v>876</v>
      </c>
      <c r="H5" s="8" t="s">
        <v>877</v>
      </c>
    </row>
    <row r="6" customFormat="false" ht="15" hidden="false" customHeight="false" outlineLevel="0" collapsed="false">
      <c r="A6" s="8" t="s">
        <v>878</v>
      </c>
      <c r="B6" s="8" t="s">
        <v>879</v>
      </c>
      <c r="C6" s="8" t="s">
        <v>873</v>
      </c>
      <c r="D6" s="8" t="s">
        <v>880</v>
      </c>
      <c r="E6" s="9" t="n">
        <v>-4</v>
      </c>
      <c r="F6" s="8" t="s">
        <v>875</v>
      </c>
      <c r="G6" s="8" t="s">
        <v>876</v>
      </c>
      <c r="H6" s="8" t="s">
        <v>881</v>
      </c>
    </row>
  </sheetData>
  <autoFilter ref="A3:H6"/>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8"/>
    <col collapsed="false" customWidth="true" hidden="false" outlineLevel="0" max="4" min="4" style="0" width="16"/>
    <col collapsed="false" customWidth="true" hidden="false" outlineLevel="0" max="5" min="5" style="0" width="40"/>
    <col collapsed="false" customWidth="true" hidden="false" outlineLevel="0" max="6" min="6" style="0" width="20"/>
    <col collapsed="false" customWidth="true" hidden="false" outlineLevel="0" max="8" min="7" style="0" width="22"/>
  </cols>
  <sheetData>
    <row r="1" customFormat="false" ht="15" hidden="false" customHeight="false" outlineLevel="0" collapsed="false">
      <c r="A1" s="19" t="s">
        <v>882</v>
      </c>
      <c r="B1" s="19"/>
      <c r="C1" s="19"/>
      <c r="D1" s="19"/>
      <c r="E1" s="19"/>
      <c r="F1" s="19"/>
      <c r="G1" s="19"/>
      <c r="H1" s="19"/>
    </row>
    <row r="3" customFormat="false" ht="24" hidden="false" customHeight="false" outlineLevel="0" collapsed="false">
      <c r="A3" s="7" t="s">
        <v>883</v>
      </c>
      <c r="B3" s="7" t="s">
        <v>884</v>
      </c>
      <c r="C3" s="7" t="s">
        <v>885</v>
      </c>
      <c r="D3" s="7" t="s">
        <v>886</v>
      </c>
      <c r="E3" s="7" t="s">
        <v>887</v>
      </c>
      <c r="F3" s="7" t="s">
        <v>888</v>
      </c>
      <c r="G3" s="7" t="s">
        <v>889</v>
      </c>
      <c r="H3" s="7" t="s">
        <v>730</v>
      </c>
    </row>
    <row r="4" customFormat="false" ht="15" hidden="false" customHeight="false" outlineLevel="0" collapsed="false">
      <c r="A4" s="8" t="s">
        <v>890</v>
      </c>
      <c r="B4" s="9" t="n">
        <v>1</v>
      </c>
      <c r="C4" s="8" t="n">
        <v>37</v>
      </c>
      <c r="D4" s="8" t="s">
        <v>891</v>
      </c>
      <c r="E4" s="8" t="s">
        <v>892</v>
      </c>
      <c r="F4" s="8" t="s">
        <v>893</v>
      </c>
      <c r="G4" s="8" t="s">
        <v>893</v>
      </c>
      <c r="H4" s="8" t="s">
        <v>894</v>
      </c>
    </row>
    <row r="5" customFormat="false" ht="15" hidden="false" customHeight="false" outlineLevel="0" collapsed="false">
      <c r="A5" s="8" t="s">
        <v>895</v>
      </c>
      <c r="B5" s="9" t="n">
        <v>3</v>
      </c>
      <c r="C5" s="8" t="n">
        <v>61</v>
      </c>
      <c r="D5" s="8" t="s">
        <v>891</v>
      </c>
      <c r="E5" s="8" t="s">
        <v>896</v>
      </c>
      <c r="F5" s="8" t="s">
        <v>897</v>
      </c>
      <c r="G5" s="8" t="s">
        <v>893</v>
      </c>
      <c r="H5" s="8" t="s">
        <v>898</v>
      </c>
    </row>
    <row r="8" customFormat="false" ht="15" hidden="false" customHeight="false" outlineLevel="0" collapsed="false">
      <c r="A8" s="14" t="s">
        <v>899</v>
      </c>
    </row>
    <row r="9" customFormat="false" ht="24" hidden="false" customHeight="false" outlineLevel="0" collapsed="false">
      <c r="A9" s="7" t="s">
        <v>717</v>
      </c>
      <c r="B9" s="7" t="s">
        <v>900</v>
      </c>
      <c r="C9" s="7" t="s">
        <v>901</v>
      </c>
      <c r="D9" s="7" t="s">
        <v>902</v>
      </c>
      <c r="E9" s="7" t="s">
        <v>52</v>
      </c>
    </row>
    <row r="10" customFormat="false" ht="15" hidden="false" customHeight="false" outlineLevel="0" collapsed="false">
      <c r="A10" s="8" t="s">
        <v>903</v>
      </c>
      <c r="B10" s="8" t="s">
        <v>673</v>
      </c>
      <c r="C10" s="8" t="n">
        <v>1</v>
      </c>
      <c r="D10" s="8" t="s">
        <v>685</v>
      </c>
      <c r="E10" s="8" t="s">
        <v>904</v>
      </c>
    </row>
    <row r="11" customFormat="false" ht="24" hidden="false" customHeight="false" outlineLevel="0" collapsed="false">
      <c r="A11" s="8" t="s">
        <v>905</v>
      </c>
      <c r="B11" s="8" t="s">
        <v>685</v>
      </c>
      <c r="C11" s="8" t="n">
        <v>0</v>
      </c>
      <c r="D11" s="8" t="s">
        <v>906</v>
      </c>
      <c r="E11" s="8" t="s">
        <v>904</v>
      </c>
    </row>
  </sheetData>
  <autoFilter ref="A3:H5"/>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6"/>
    <col collapsed="false" customWidth="true" hidden="false" outlineLevel="0" max="4" min="4" style="0" width="18"/>
    <col collapsed="false" customWidth="true" hidden="false" outlineLevel="0" max="5" min="5" style="0" width="14"/>
    <col collapsed="false" customWidth="true" hidden="false" outlineLevel="0" max="6" min="6" style="0" width="10"/>
    <col collapsed="false" customWidth="true" hidden="false" outlineLevel="0" max="7" min="7" style="0" width="30"/>
    <col collapsed="false" customWidth="true" hidden="false" outlineLevel="0" max="8" min="8" style="0" width="60"/>
  </cols>
  <sheetData>
    <row r="1" customFormat="false" ht="31.5" hidden="false" customHeight="true" outlineLevel="0" collapsed="false">
      <c r="A1" s="13" t="s">
        <v>907</v>
      </c>
      <c r="B1" s="13"/>
      <c r="C1" s="13"/>
      <c r="D1" s="13"/>
      <c r="E1" s="13"/>
      <c r="F1" s="13"/>
      <c r="G1" s="13"/>
      <c r="H1" s="13"/>
    </row>
    <row r="3" customFormat="false" ht="15" hidden="false" customHeight="false" outlineLevel="0" collapsed="false">
      <c r="A3" s="7" t="s">
        <v>42</v>
      </c>
      <c r="B3" s="7" t="s">
        <v>908</v>
      </c>
      <c r="C3" s="7" t="s">
        <v>909</v>
      </c>
      <c r="D3" s="7" t="s">
        <v>910</v>
      </c>
      <c r="E3" s="7" t="s">
        <v>911</v>
      </c>
      <c r="F3" s="7" t="s">
        <v>571</v>
      </c>
      <c r="G3" s="7" t="s">
        <v>52</v>
      </c>
      <c r="H3" s="7" t="s">
        <v>464</v>
      </c>
    </row>
    <row r="4" customFormat="false" ht="15" hidden="false" customHeight="false" outlineLevel="0" collapsed="false">
      <c r="A4" s="8" t="s">
        <v>912</v>
      </c>
      <c r="B4" s="8" t="s">
        <v>913</v>
      </c>
      <c r="C4" s="9" t="n">
        <v>20</v>
      </c>
      <c r="D4" s="8" t="s">
        <v>662</v>
      </c>
      <c r="E4" s="9"/>
      <c r="F4" s="20" t="s">
        <v>160</v>
      </c>
      <c r="G4" s="8" t="s">
        <v>914</v>
      </c>
      <c r="H4" s="8" t="s">
        <v>915</v>
      </c>
    </row>
    <row r="5" customFormat="false" ht="15" hidden="false" customHeight="false" outlineLevel="0" collapsed="false">
      <c r="A5" s="8" t="s">
        <v>916</v>
      </c>
      <c r="B5" s="8" t="s">
        <v>917</v>
      </c>
      <c r="C5" s="9" t="n">
        <v>1</v>
      </c>
      <c r="D5" s="8" t="s">
        <v>918</v>
      </c>
      <c r="E5" s="9"/>
      <c r="F5" s="20" t="s">
        <v>160</v>
      </c>
      <c r="G5" s="8" t="s">
        <v>914</v>
      </c>
      <c r="H5" s="8"/>
    </row>
    <row r="6" customFormat="false" ht="15" hidden="false" customHeight="false" outlineLevel="0" collapsed="false">
      <c r="A6" s="8" t="s">
        <v>919</v>
      </c>
      <c r="B6" s="8" t="s">
        <v>920</v>
      </c>
      <c r="C6" s="9" t="n">
        <v>1</v>
      </c>
      <c r="D6" s="8" t="s">
        <v>918</v>
      </c>
      <c r="E6" s="9"/>
      <c r="F6" s="20" t="s">
        <v>160</v>
      </c>
      <c r="G6" s="8" t="s">
        <v>914</v>
      </c>
      <c r="H6" s="8"/>
    </row>
    <row r="7" customFormat="false" ht="15" hidden="false" customHeight="false" outlineLevel="0" collapsed="false">
      <c r="A7" s="8" t="s">
        <v>921</v>
      </c>
      <c r="B7" s="8" t="s">
        <v>922</v>
      </c>
      <c r="C7" s="9" t="n">
        <v>0</v>
      </c>
      <c r="D7" s="8" t="s">
        <v>918</v>
      </c>
      <c r="E7" s="9"/>
      <c r="F7" s="20" t="s">
        <v>160</v>
      </c>
      <c r="G7" s="8" t="s">
        <v>914</v>
      </c>
      <c r="H7" s="8"/>
    </row>
    <row r="8" customFormat="false" ht="15" hidden="false" customHeight="false" outlineLevel="0" collapsed="false">
      <c r="A8" s="8" t="s">
        <v>923</v>
      </c>
      <c r="B8" s="8" t="s">
        <v>924</v>
      </c>
      <c r="C8" s="9" t="n">
        <v>0</v>
      </c>
      <c r="D8" s="8" t="s">
        <v>918</v>
      </c>
      <c r="E8" s="9"/>
      <c r="F8" s="20" t="s">
        <v>160</v>
      </c>
      <c r="G8" s="8" t="s">
        <v>914</v>
      </c>
      <c r="H8" s="8"/>
    </row>
    <row r="9" customFormat="false" ht="15" hidden="false" customHeight="false" outlineLevel="0" collapsed="false">
      <c r="A9" s="8" t="s">
        <v>925</v>
      </c>
      <c r="B9" s="8" t="s">
        <v>926</v>
      </c>
      <c r="C9" s="9" t="n">
        <v>3</v>
      </c>
      <c r="D9" s="8" t="s">
        <v>927</v>
      </c>
      <c r="E9" s="9"/>
      <c r="F9" s="20" t="s">
        <v>110</v>
      </c>
      <c r="G9" s="8" t="s">
        <v>914</v>
      </c>
      <c r="H9" s="8" t="s">
        <v>928</v>
      </c>
    </row>
    <row r="10" customFormat="false" ht="15" hidden="false" customHeight="false" outlineLevel="0" collapsed="false">
      <c r="A10" s="8" t="s">
        <v>929</v>
      </c>
      <c r="B10" s="8" t="s">
        <v>930</v>
      </c>
      <c r="C10" s="9" t="n">
        <v>6</v>
      </c>
      <c r="D10" s="8" t="s">
        <v>927</v>
      </c>
      <c r="E10" s="9"/>
      <c r="F10" s="20" t="s">
        <v>110</v>
      </c>
      <c r="G10" s="8" t="s">
        <v>914</v>
      </c>
      <c r="H10" s="8" t="s">
        <v>931</v>
      </c>
    </row>
    <row r="11" customFormat="false" ht="15" hidden="false" customHeight="false" outlineLevel="0" collapsed="false">
      <c r="A11" s="8" t="s">
        <v>932</v>
      </c>
      <c r="B11" s="8" t="s">
        <v>933</v>
      </c>
      <c r="C11" s="9" t="n">
        <v>4</v>
      </c>
      <c r="D11" s="8" t="s">
        <v>927</v>
      </c>
      <c r="E11" s="9"/>
      <c r="F11" s="20" t="s">
        <v>117</v>
      </c>
      <c r="G11" s="8" t="s">
        <v>914</v>
      </c>
      <c r="H11" s="8" t="s">
        <v>934</v>
      </c>
    </row>
    <row r="12" customFormat="false" ht="15" hidden="false" customHeight="false" outlineLevel="0" collapsed="false">
      <c r="A12" s="8" t="s">
        <v>935</v>
      </c>
      <c r="B12" s="8" t="s">
        <v>936</v>
      </c>
      <c r="C12" s="9" t="n">
        <v>3</v>
      </c>
      <c r="D12" s="8" t="s">
        <v>937</v>
      </c>
      <c r="E12" s="9"/>
      <c r="F12" s="20" t="s">
        <v>74</v>
      </c>
      <c r="G12" s="8" t="s">
        <v>914</v>
      </c>
      <c r="H12" s="8"/>
    </row>
    <row r="13" customFormat="false" ht="15" hidden="false" customHeight="false" outlineLevel="0" collapsed="false">
      <c r="A13" s="8" t="s">
        <v>938</v>
      </c>
      <c r="B13" s="8" t="s">
        <v>939</v>
      </c>
      <c r="C13" s="9" t="n">
        <v>30000</v>
      </c>
      <c r="D13" s="8" t="s">
        <v>940</v>
      </c>
      <c r="E13" s="9"/>
      <c r="F13" s="20" t="s">
        <v>83</v>
      </c>
      <c r="G13" s="8" t="s">
        <v>914</v>
      </c>
      <c r="H13" s="8" t="s">
        <v>941</v>
      </c>
    </row>
    <row r="14" customFormat="false" ht="15" hidden="false" customHeight="false" outlineLevel="0" collapsed="false">
      <c r="A14" s="8" t="s">
        <v>942</v>
      </c>
      <c r="B14" s="8" t="s">
        <v>943</v>
      </c>
      <c r="C14" s="9" t="n">
        <v>1000</v>
      </c>
      <c r="D14" s="8" t="s">
        <v>940</v>
      </c>
      <c r="E14" s="9"/>
      <c r="F14" s="20" t="s">
        <v>83</v>
      </c>
      <c r="G14" s="8" t="s">
        <v>914</v>
      </c>
      <c r="H14" s="8" t="s">
        <v>944</v>
      </c>
    </row>
    <row r="15" customFormat="false" ht="15" hidden="false" customHeight="false" outlineLevel="0" collapsed="false">
      <c r="A15" s="8" t="s">
        <v>945</v>
      </c>
      <c r="B15" s="8" t="s">
        <v>946</v>
      </c>
      <c r="C15" s="9" t="n">
        <v>60000</v>
      </c>
      <c r="D15" s="8" t="s">
        <v>940</v>
      </c>
      <c r="E15" s="9"/>
      <c r="F15" s="20" t="s">
        <v>56</v>
      </c>
      <c r="G15" s="8" t="s">
        <v>914</v>
      </c>
      <c r="H15" s="8" t="s">
        <v>947</v>
      </c>
    </row>
    <row r="16" customFormat="false" ht="15" hidden="false" customHeight="false" outlineLevel="0" collapsed="false">
      <c r="A16" s="8" t="s">
        <v>948</v>
      </c>
      <c r="B16" s="8" t="s">
        <v>949</v>
      </c>
      <c r="C16" s="9" t="n">
        <v>2</v>
      </c>
      <c r="D16" s="8" t="s">
        <v>918</v>
      </c>
      <c r="E16" s="9"/>
      <c r="F16" s="20" t="s">
        <v>148</v>
      </c>
      <c r="G16" s="8" t="s">
        <v>152</v>
      </c>
      <c r="H16" s="8"/>
    </row>
    <row r="17" customFormat="false" ht="15" hidden="false" customHeight="false" outlineLevel="0" collapsed="false">
      <c r="A17" s="8" t="s">
        <v>950</v>
      </c>
      <c r="B17" s="8" t="s">
        <v>951</v>
      </c>
      <c r="C17" s="9" t="s">
        <v>952</v>
      </c>
      <c r="D17" s="8" t="s">
        <v>953</v>
      </c>
      <c r="E17" s="9"/>
      <c r="F17" s="20" t="s">
        <v>203</v>
      </c>
      <c r="G17" s="8" t="s">
        <v>739</v>
      </c>
      <c r="H17" s="8"/>
    </row>
    <row r="18" customFormat="false" ht="15" hidden="false" customHeight="false" outlineLevel="0" collapsed="false">
      <c r="A18" s="8" t="s">
        <v>954</v>
      </c>
      <c r="B18" s="8" t="s">
        <v>955</v>
      </c>
      <c r="C18" s="9" t="s">
        <v>956</v>
      </c>
      <c r="D18" s="8" t="s">
        <v>953</v>
      </c>
      <c r="E18" s="9"/>
      <c r="F18" s="20" t="s">
        <v>203</v>
      </c>
      <c r="G18" s="8" t="s">
        <v>744</v>
      </c>
      <c r="H18" s="8"/>
    </row>
    <row r="19" customFormat="false" ht="15" hidden="false" customHeight="false" outlineLevel="0" collapsed="false">
      <c r="A19" s="8" t="s">
        <v>957</v>
      </c>
      <c r="B19" s="8" t="s">
        <v>958</v>
      </c>
      <c r="C19" s="9" t="n">
        <v>3</v>
      </c>
      <c r="D19" s="8" t="s">
        <v>959</v>
      </c>
      <c r="E19" s="9"/>
      <c r="F19" s="20" t="s">
        <v>203</v>
      </c>
      <c r="G19" s="8" t="s">
        <v>749</v>
      </c>
      <c r="H19" s="8" t="s">
        <v>960</v>
      </c>
    </row>
    <row r="20" customFormat="false" ht="15" hidden="false" customHeight="false" outlineLevel="0" collapsed="false">
      <c r="A20" s="8" t="s">
        <v>961</v>
      </c>
      <c r="B20" s="8" t="s">
        <v>962</v>
      </c>
      <c r="C20" s="9" t="s">
        <v>963</v>
      </c>
      <c r="D20" s="8" t="s">
        <v>964</v>
      </c>
      <c r="E20" s="9"/>
      <c r="F20" s="20" t="s">
        <v>173</v>
      </c>
      <c r="G20" s="8" t="s">
        <v>758</v>
      </c>
      <c r="H20" s="8"/>
    </row>
    <row r="21" customFormat="false" ht="15" hidden="false" customHeight="false" outlineLevel="0" collapsed="false">
      <c r="A21" s="8" t="s">
        <v>965</v>
      </c>
      <c r="B21" s="8" t="s">
        <v>966</v>
      </c>
      <c r="C21" s="9" t="s">
        <v>967</v>
      </c>
      <c r="D21" s="8" t="s">
        <v>964</v>
      </c>
      <c r="E21" s="9"/>
      <c r="F21" s="20" t="s">
        <v>173</v>
      </c>
      <c r="G21" s="8" t="s">
        <v>768</v>
      </c>
      <c r="H21" s="8"/>
    </row>
    <row r="22" customFormat="false" ht="15" hidden="false" customHeight="false" outlineLevel="0" collapsed="false">
      <c r="A22" s="8" t="s">
        <v>968</v>
      </c>
      <c r="B22" s="8" t="s">
        <v>969</v>
      </c>
      <c r="C22" s="9" t="s">
        <v>970</v>
      </c>
      <c r="D22" s="8" t="s">
        <v>971</v>
      </c>
      <c r="E22" s="9"/>
      <c r="F22" s="20" t="s">
        <v>56</v>
      </c>
      <c r="G22" s="8" t="s">
        <v>60</v>
      </c>
      <c r="H22" s="8" t="s">
        <v>972</v>
      </c>
    </row>
    <row r="23" customFormat="false" ht="15" hidden="false" customHeight="false" outlineLevel="0" collapsed="false">
      <c r="A23" s="8" t="s">
        <v>973</v>
      </c>
      <c r="B23" s="8" t="s">
        <v>974</v>
      </c>
      <c r="C23" s="9" t="n">
        <v>60</v>
      </c>
      <c r="D23" s="8" t="s">
        <v>975</v>
      </c>
      <c r="E23" s="9"/>
      <c r="F23" s="20" t="s">
        <v>90</v>
      </c>
      <c r="G23" s="8" t="s">
        <v>976</v>
      </c>
      <c r="H23" s="8" t="s">
        <v>972</v>
      </c>
    </row>
    <row r="24" customFormat="false" ht="15" hidden="false" customHeight="false" outlineLevel="0" collapsed="false">
      <c r="A24" s="8" t="s">
        <v>977</v>
      </c>
      <c r="B24" s="8" t="s">
        <v>978</v>
      </c>
      <c r="C24" s="9" t="n">
        <v>20</v>
      </c>
      <c r="D24" s="8" t="s">
        <v>975</v>
      </c>
      <c r="E24" s="9"/>
      <c r="F24" s="20" t="s">
        <v>97</v>
      </c>
      <c r="G24" s="8" t="s">
        <v>979</v>
      </c>
      <c r="H24" s="8" t="s">
        <v>972</v>
      </c>
    </row>
    <row r="25" customFormat="false" ht="15" hidden="false" customHeight="false" outlineLevel="0" collapsed="false">
      <c r="A25" s="8" t="s">
        <v>980</v>
      </c>
      <c r="B25" s="8" t="s">
        <v>981</v>
      </c>
      <c r="C25" s="9" t="s">
        <v>982</v>
      </c>
      <c r="D25" s="8" t="s">
        <v>490</v>
      </c>
      <c r="E25" s="9"/>
      <c r="F25" s="20" t="s">
        <v>97</v>
      </c>
      <c r="G25" s="8" t="s">
        <v>100</v>
      </c>
      <c r="H25" s="8"/>
    </row>
    <row r="26" customFormat="false" ht="15" hidden="false" customHeight="false" outlineLevel="0" collapsed="false">
      <c r="A26" s="8" t="s">
        <v>983</v>
      </c>
      <c r="B26" s="8" t="s">
        <v>984</v>
      </c>
      <c r="C26" s="9" t="s">
        <v>985</v>
      </c>
      <c r="D26" s="8" t="s">
        <v>986</v>
      </c>
      <c r="E26" s="9"/>
      <c r="F26" s="20" t="s">
        <v>83</v>
      </c>
      <c r="G26" s="8" t="s">
        <v>987</v>
      </c>
      <c r="H26" s="8" t="s">
        <v>988</v>
      </c>
    </row>
    <row r="27" customFormat="false" ht="15" hidden="false" customHeight="false" outlineLevel="0" collapsed="false">
      <c r="A27" s="8" t="s">
        <v>989</v>
      </c>
      <c r="B27" s="8" t="s">
        <v>990</v>
      </c>
      <c r="C27" s="9" t="n">
        <v>10</v>
      </c>
      <c r="D27" s="8" t="s">
        <v>662</v>
      </c>
      <c r="E27" s="9"/>
      <c r="F27" s="20" t="s">
        <v>126</v>
      </c>
      <c r="G27" s="8" t="s">
        <v>841</v>
      </c>
      <c r="H27" s="8" t="s">
        <v>991</v>
      </c>
    </row>
    <row r="28" customFormat="false" ht="15" hidden="false" customHeight="false" outlineLevel="0" collapsed="false">
      <c r="A28" s="8" t="s">
        <v>992</v>
      </c>
      <c r="B28" s="8" t="s">
        <v>993</v>
      </c>
      <c r="C28" s="9" t="n">
        <v>6</v>
      </c>
      <c r="D28" s="8" t="s">
        <v>927</v>
      </c>
      <c r="E28" s="9"/>
      <c r="F28" s="20" t="s">
        <v>126</v>
      </c>
      <c r="G28" s="8" t="s">
        <v>994</v>
      </c>
      <c r="H28" s="8"/>
    </row>
    <row r="29" customFormat="false" ht="15" hidden="false" customHeight="false" outlineLevel="0" collapsed="false">
      <c r="A29" s="8" t="s">
        <v>995</v>
      </c>
      <c r="B29" s="8" t="s">
        <v>996</v>
      </c>
      <c r="C29" s="9" t="n">
        <v>3</v>
      </c>
      <c r="D29" s="8" t="s">
        <v>927</v>
      </c>
      <c r="E29" s="9"/>
      <c r="F29" s="20" t="s">
        <v>126</v>
      </c>
      <c r="G29" s="8" t="s">
        <v>994</v>
      </c>
      <c r="H29" s="8"/>
    </row>
    <row r="30" customFormat="false" ht="24" hidden="false" customHeight="false" outlineLevel="0" collapsed="false">
      <c r="A30" s="8" t="s">
        <v>997</v>
      </c>
      <c r="B30" s="8" t="s">
        <v>998</v>
      </c>
      <c r="C30" s="15" t="s">
        <v>674</v>
      </c>
      <c r="D30" s="8" t="s">
        <v>999</v>
      </c>
      <c r="E30" s="15" t="s">
        <v>674</v>
      </c>
      <c r="F30" s="20" t="s">
        <v>300</v>
      </c>
      <c r="G30" s="8" t="s">
        <v>1000</v>
      </c>
      <c r="H30" s="8" t="s">
        <v>1001</v>
      </c>
    </row>
    <row r="31" customFormat="false" ht="15" hidden="false" customHeight="false" outlineLevel="0" collapsed="false">
      <c r="A31" s="8" t="s">
        <v>1002</v>
      </c>
      <c r="B31" s="8" t="s">
        <v>1003</v>
      </c>
      <c r="C31" s="9" t="s">
        <v>1004</v>
      </c>
      <c r="D31" s="8" t="s">
        <v>964</v>
      </c>
      <c r="E31" s="9"/>
      <c r="F31" s="20" t="s">
        <v>354</v>
      </c>
      <c r="G31" s="8" t="s">
        <v>1000</v>
      </c>
      <c r="H31" s="8" t="s">
        <v>1005</v>
      </c>
    </row>
    <row r="32" customFormat="false" ht="15" hidden="false" customHeight="false" outlineLevel="0" collapsed="false">
      <c r="A32" s="8" t="s">
        <v>1006</v>
      </c>
      <c r="B32" s="8" t="s">
        <v>1007</v>
      </c>
      <c r="C32" s="9" t="s">
        <v>1004</v>
      </c>
      <c r="D32" s="8" t="s">
        <v>964</v>
      </c>
      <c r="E32" s="9"/>
      <c r="F32" s="20" t="s">
        <v>362</v>
      </c>
      <c r="G32" s="8" t="s">
        <v>1000</v>
      </c>
      <c r="H32" s="8" t="s">
        <v>1005</v>
      </c>
    </row>
    <row r="33" customFormat="false" ht="15" hidden="false" customHeight="false" outlineLevel="0" collapsed="false">
      <c r="A33" s="8" t="s">
        <v>1008</v>
      </c>
      <c r="B33" s="8" t="s">
        <v>1009</v>
      </c>
      <c r="C33" s="9" t="s">
        <v>1010</v>
      </c>
      <c r="D33" s="8" t="s">
        <v>1011</v>
      </c>
      <c r="E33" s="9"/>
      <c r="F33" s="20" t="s">
        <v>340</v>
      </c>
      <c r="G33" s="8" t="s">
        <v>1000</v>
      </c>
      <c r="H33" s="8" t="s">
        <v>581</v>
      </c>
    </row>
    <row r="34" customFormat="false" ht="15" hidden="false" customHeight="false" outlineLevel="0" collapsed="false">
      <c r="A34" s="8" t="s">
        <v>1012</v>
      </c>
      <c r="B34" s="8" t="s">
        <v>1013</v>
      </c>
      <c r="C34" s="15" t="s">
        <v>674</v>
      </c>
      <c r="D34" s="8" t="s">
        <v>1014</v>
      </c>
      <c r="E34" s="15" t="s">
        <v>674</v>
      </c>
      <c r="F34" s="20" t="s">
        <v>354</v>
      </c>
      <c r="G34" s="8" t="s">
        <v>1000</v>
      </c>
      <c r="H34" s="8" t="s">
        <v>1015</v>
      </c>
    </row>
    <row r="35" customFormat="false" ht="15" hidden="false" customHeight="false" outlineLevel="0" collapsed="false">
      <c r="A35" s="8" t="s">
        <v>1016</v>
      </c>
      <c r="B35" s="8" t="s">
        <v>1017</v>
      </c>
      <c r="C35" s="15" t="s">
        <v>674</v>
      </c>
      <c r="D35" s="8" t="s">
        <v>1014</v>
      </c>
      <c r="E35" s="15" t="s">
        <v>674</v>
      </c>
      <c r="F35" s="20" t="s">
        <v>362</v>
      </c>
      <c r="G35" s="8" t="s">
        <v>1000</v>
      </c>
      <c r="H35" s="8"/>
    </row>
    <row r="36" customFormat="false" ht="15" hidden="false" customHeight="false" outlineLevel="0" collapsed="false">
      <c r="A36" s="8" t="s">
        <v>1018</v>
      </c>
      <c r="B36" s="8" t="s">
        <v>1019</v>
      </c>
      <c r="C36" s="15" t="s">
        <v>674</v>
      </c>
      <c r="D36" s="8" t="s">
        <v>1020</v>
      </c>
      <c r="E36" s="15" t="s">
        <v>674</v>
      </c>
      <c r="F36" s="20" t="s">
        <v>374</v>
      </c>
      <c r="G36" s="8" t="s">
        <v>1000</v>
      </c>
      <c r="H36" s="8" t="s">
        <v>1015</v>
      </c>
    </row>
    <row r="37" customFormat="false" ht="15" hidden="false" customHeight="false" outlineLevel="0" collapsed="false">
      <c r="A37" s="8" t="s">
        <v>1021</v>
      </c>
      <c r="B37" s="8" t="s">
        <v>1022</v>
      </c>
      <c r="C37" s="15" t="s">
        <v>674</v>
      </c>
      <c r="D37" s="8" t="s">
        <v>1023</v>
      </c>
      <c r="E37" s="15" t="s">
        <v>674</v>
      </c>
      <c r="F37" s="20" t="s">
        <v>379</v>
      </c>
      <c r="G37" s="8" t="s">
        <v>1000</v>
      </c>
      <c r="H37" s="8" t="s">
        <v>1024</v>
      </c>
    </row>
    <row r="38" customFormat="false" ht="15" hidden="false" customHeight="false" outlineLevel="0" collapsed="false">
      <c r="A38" s="8" t="s">
        <v>1025</v>
      </c>
      <c r="B38" s="8" t="s">
        <v>1026</v>
      </c>
      <c r="C38" s="15" t="s">
        <v>674</v>
      </c>
      <c r="D38" s="8" t="s">
        <v>1027</v>
      </c>
      <c r="E38" s="15" t="s">
        <v>674</v>
      </c>
      <c r="F38" s="20" t="s">
        <v>409</v>
      </c>
      <c r="G38" s="8" t="s">
        <v>1000</v>
      </c>
      <c r="H38" s="8" t="s">
        <v>1028</v>
      </c>
    </row>
    <row r="39" customFormat="false" ht="15" hidden="false" customHeight="false" outlineLevel="0" collapsed="false">
      <c r="A39" s="8" t="s">
        <v>1029</v>
      </c>
      <c r="B39" s="8" t="s">
        <v>1030</v>
      </c>
      <c r="C39" s="15" t="s">
        <v>674</v>
      </c>
      <c r="D39" s="8" t="s">
        <v>1027</v>
      </c>
      <c r="E39" s="15" t="s">
        <v>674</v>
      </c>
      <c r="F39" s="20" t="s">
        <v>393</v>
      </c>
      <c r="G39" s="8" t="s">
        <v>1000</v>
      </c>
      <c r="H39" s="8" t="s">
        <v>1028</v>
      </c>
    </row>
    <row r="40" customFormat="false" ht="15" hidden="false" customHeight="false" outlineLevel="0" collapsed="false">
      <c r="A40" s="8" t="s">
        <v>1031</v>
      </c>
      <c r="B40" s="8" t="s">
        <v>1032</v>
      </c>
      <c r="C40" s="15" t="s">
        <v>674</v>
      </c>
      <c r="D40" s="8" t="s">
        <v>999</v>
      </c>
      <c r="E40" s="15" t="s">
        <v>674</v>
      </c>
      <c r="F40" s="20" t="s">
        <v>418</v>
      </c>
      <c r="G40" s="8" t="s">
        <v>1000</v>
      </c>
      <c r="H40" s="8"/>
    </row>
    <row r="41" customFormat="false" ht="15" hidden="false" customHeight="false" outlineLevel="0" collapsed="false">
      <c r="A41" s="8" t="s">
        <v>1033</v>
      </c>
      <c r="B41" s="8" t="s">
        <v>1034</v>
      </c>
      <c r="C41" s="9" t="s">
        <v>1035</v>
      </c>
      <c r="D41" s="8" t="s">
        <v>1036</v>
      </c>
      <c r="E41" s="9"/>
      <c r="F41" s="20" t="s">
        <v>456</v>
      </c>
      <c r="G41" s="8" t="s">
        <v>1000</v>
      </c>
      <c r="H41" s="8" t="s">
        <v>581</v>
      </c>
    </row>
    <row r="43" customFormat="false" ht="15" hidden="false" customHeight="false" outlineLevel="0" collapsed="false">
      <c r="A43" s="14" t="s">
        <v>1037</v>
      </c>
    </row>
    <row r="44" customFormat="false" ht="15" hidden="false" customHeight="false" outlineLevel="0" collapsed="false">
      <c r="B44" s="6" t="s">
        <v>1038</v>
      </c>
      <c r="C44" s="21" t="n">
        <f aca="false">1000/144</f>
        <v>6.94444444444445</v>
      </c>
    </row>
    <row r="45" customFormat="false" ht="15" hidden="false" customHeight="false" outlineLevel="0" collapsed="false">
      <c r="B45" s="6" t="s">
        <v>1039</v>
      </c>
      <c r="C45" s="6" t="n">
        <f aca="false">C9*2-C11</f>
        <v>2</v>
      </c>
    </row>
    <row r="46" customFormat="false" ht="15" hidden="false" customHeight="false" outlineLevel="0" collapsed="false">
      <c r="B46" s="6" t="s">
        <v>1040</v>
      </c>
      <c r="C46" s="21" t="n">
        <f aca="false">C11/C9</f>
        <v>1.33333333333333</v>
      </c>
    </row>
    <row r="47" customFormat="false" ht="15" hidden="false" customHeight="false" outlineLevel="0" collapsed="false">
      <c r="B47" s="6" t="s">
        <v>1041</v>
      </c>
      <c r="C47" s="6" t="n">
        <f aca="false">ROUNDUP((C4+8)/((2+C5+2-2)*C12),0)</f>
        <v>4</v>
      </c>
    </row>
  </sheetData>
  <autoFilter ref="A3:H41"/>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70"/>
    <col collapsed="false" customWidth="true" hidden="false" outlineLevel="0" max="4" min="4" style="0" width="10"/>
    <col collapsed="false" customWidth="true" hidden="false" outlineLevel="0" max="5" min="5" style="0" width="60"/>
    <col collapsed="false" customWidth="true" hidden="false" outlineLevel="0" max="6" min="6" style="0" width="12"/>
    <col collapsed="false" customWidth="true" hidden="false" outlineLevel="0" max="7" min="7" style="0" width="14"/>
    <col collapsed="false" customWidth="true" hidden="false" outlineLevel="0" max="8" min="8" style="0" width="10"/>
  </cols>
  <sheetData>
    <row r="1" customFormat="false" ht="24" hidden="false" customHeight="false" outlineLevel="0" collapsed="false">
      <c r="A1" s="7" t="s">
        <v>42</v>
      </c>
      <c r="B1" s="7" t="s">
        <v>1042</v>
      </c>
      <c r="C1" s="7" t="s">
        <v>1043</v>
      </c>
      <c r="D1" s="7" t="s">
        <v>570</v>
      </c>
      <c r="E1" s="7" t="s">
        <v>1044</v>
      </c>
      <c r="F1" s="7" t="s">
        <v>1045</v>
      </c>
      <c r="G1" s="7" t="s">
        <v>52</v>
      </c>
      <c r="H1" s="7" t="s">
        <v>828</v>
      </c>
    </row>
    <row r="2" customFormat="false" ht="24" hidden="false" customHeight="false" outlineLevel="0" collapsed="false">
      <c r="A2" s="8" t="s">
        <v>1046</v>
      </c>
      <c r="B2" s="8" t="s">
        <v>58</v>
      </c>
      <c r="C2" s="8" t="s">
        <v>1047</v>
      </c>
      <c r="D2" s="9" t="s">
        <v>32</v>
      </c>
      <c r="E2" s="8"/>
      <c r="F2" s="8"/>
      <c r="G2" s="8" t="s">
        <v>1048</v>
      </c>
      <c r="H2" s="8" t="s">
        <v>1049</v>
      </c>
    </row>
    <row r="3" customFormat="false" ht="15" hidden="false" customHeight="false" outlineLevel="0" collapsed="false">
      <c r="A3" s="8" t="s">
        <v>1050</v>
      </c>
      <c r="B3" s="8" t="s">
        <v>58</v>
      </c>
      <c r="C3" s="8" t="s">
        <v>1051</v>
      </c>
      <c r="D3" s="9" t="s">
        <v>32</v>
      </c>
      <c r="E3" s="8"/>
      <c r="F3" s="8"/>
      <c r="G3" s="8" t="s">
        <v>1048</v>
      </c>
      <c r="H3" s="8" t="s">
        <v>1049</v>
      </c>
    </row>
    <row r="4" customFormat="false" ht="15" hidden="false" customHeight="false" outlineLevel="0" collapsed="false">
      <c r="A4" s="8" t="s">
        <v>1052</v>
      </c>
      <c r="B4" s="8" t="s">
        <v>58</v>
      </c>
      <c r="C4" s="8" t="s">
        <v>1053</v>
      </c>
      <c r="D4" s="9" t="s">
        <v>32</v>
      </c>
      <c r="E4" s="8"/>
      <c r="F4" s="8"/>
      <c r="G4" s="8" t="s">
        <v>1048</v>
      </c>
      <c r="H4" s="8" t="s">
        <v>1049</v>
      </c>
    </row>
    <row r="5" customFormat="false" ht="15" hidden="false" customHeight="false" outlineLevel="0" collapsed="false">
      <c r="A5" s="8" t="s">
        <v>1054</v>
      </c>
      <c r="B5" s="8" t="s">
        <v>58</v>
      </c>
      <c r="C5" s="8" t="s">
        <v>1055</v>
      </c>
      <c r="D5" s="9" t="s">
        <v>32</v>
      </c>
      <c r="E5" s="8"/>
      <c r="F5" s="8"/>
      <c r="G5" s="8" t="s">
        <v>1048</v>
      </c>
      <c r="H5" s="8" t="s">
        <v>1049</v>
      </c>
    </row>
    <row r="6" customFormat="false" ht="15" hidden="false" customHeight="false" outlineLevel="0" collapsed="false">
      <c r="A6" s="8" t="s">
        <v>1056</v>
      </c>
      <c r="B6" s="8" t="s">
        <v>58</v>
      </c>
      <c r="C6" s="8" t="s">
        <v>1057</v>
      </c>
      <c r="D6" s="9" t="s">
        <v>32</v>
      </c>
      <c r="E6" s="8"/>
      <c r="F6" s="8"/>
      <c r="G6" s="8" t="s">
        <v>1048</v>
      </c>
      <c r="H6" s="8" t="s">
        <v>1049</v>
      </c>
    </row>
    <row r="7" customFormat="false" ht="15" hidden="false" customHeight="false" outlineLevel="0" collapsed="false">
      <c r="A7" s="8" t="s">
        <v>1058</v>
      </c>
      <c r="B7" s="8" t="s">
        <v>58</v>
      </c>
      <c r="C7" s="8" t="s">
        <v>1059</v>
      </c>
      <c r="D7" s="9" t="s">
        <v>32</v>
      </c>
      <c r="E7" s="8"/>
      <c r="F7" s="8"/>
      <c r="G7" s="8" t="s">
        <v>1048</v>
      </c>
      <c r="H7" s="8" t="s">
        <v>1049</v>
      </c>
    </row>
    <row r="8" customFormat="false" ht="15" hidden="false" customHeight="false" outlineLevel="0" collapsed="false">
      <c r="A8" s="8" t="s">
        <v>1060</v>
      </c>
      <c r="B8" s="8" t="s">
        <v>58</v>
      </c>
      <c r="C8" s="8" t="s">
        <v>1061</v>
      </c>
      <c r="D8" s="9" t="s">
        <v>32</v>
      </c>
      <c r="E8" s="8"/>
      <c r="F8" s="8"/>
      <c r="G8" s="8" t="s">
        <v>1048</v>
      </c>
      <c r="H8" s="8" t="s">
        <v>1049</v>
      </c>
    </row>
    <row r="9" customFormat="false" ht="15" hidden="false" customHeight="false" outlineLevel="0" collapsed="false">
      <c r="A9" s="8" t="s">
        <v>1062</v>
      </c>
      <c r="B9" s="8" t="s">
        <v>58</v>
      </c>
      <c r="C9" s="8" t="s">
        <v>1063</v>
      </c>
      <c r="D9" s="9" t="s">
        <v>32</v>
      </c>
      <c r="E9" s="8"/>
      <c r="F9" s="8"/>
      <c r="G9" s="8" t="s">
        <v>1048</v>
      </c>
      <c r="H9" s="8" t="s">
        <v>1049</v>
      </c>
    </row>
    <row r="10" customFormat="false" ht="15" hidden="false" customHeight="false" outlineLevel="0" collapsed="false">
      <c r="A10" s="8" t="s">
        <v>1064</v>
      </c>
      <c r="B10" s="8" t="s">
        <v>58</v>
      </c>
      <c r="C10" s="8" t="s">
        <v>1065</v>
      </c>
      <c r="D10" s="9" t="s">
        <v>32</v>
      </c>
      <c r="E10" s="8"/>
      <c r="F10" s="8"/>
      <c r="G10" s="8" t="s">
        <v>1048</v>
      </c>
      <c r="H10" s="8" t="s">
        <v>1049</v>
      </c>
    </row>
    <row r="11" customFormat="false" ht="15" hidden="false" customHeight="false" outlineLevel="0" collapsed="false">
      <c r="A11" s="8" t="s">
        <v>1066</v>
      </c>
      <c r="B11" s="8" t="s">
        <v>58</v>
      </c>
      <c r="C11" s="8" t="s">
        <v>1067</v>
      </c>
      <c r="D11" s="9" t="s">
        <v>32</v>
      </c>
      <c r="E11" s="8"/>
      <c r="F11" s="8"/>
      <c r="G11" s="8" t="s">
        <v>1048</v>
      </c>
      <c r="H11" s="8" t="s">
        <v>1049</v>
      </c>
    </row>
    <row r="12" customFormat="false" ht="15" hidden="false" customHeight="false" outlineLevel="0" collapsed="false">
      <c r="A12" s="8" t="s">
        <v>1068</v>
      </c>
      <c r="B12" s="8" t="s">
        <v>58</v>
      </c>
      <c r="C12" s="8" t="s">
        <v>1069</v>
      </c>
      <c r="D12" s="9" t="s">
        <v>32</v>
      </c>
      <c r="E12" s="8"/>
      <c r="F12" s="8"/>
      <c r="G12" s="8" t="s">
        <v>1048</v>
      </c>
      <c r="H12" s="8" t="s">
        <v>1049</v>
      </c>
    </row>
    <row r="13" customFormat="false" ht="24" hidden="false" customHeight="false" outlineLevel="0" collapsed="false">
      <c r="A13" s="8" t="s">
        <v>1070</v>
      </c>
      <c r="B13" s="8" t="s">
        <v>112</v>
      </c>
      <c r="C13" s="8" t="s">
        <v>1071</v>
      </c>
      <c r="D13" s="9" t="s">
        <v>1072</v>
      </c>
      <c r="E13" s="8" t="s">
        <v>1073</v>
      </c>
      <c r="F13" s="8" t="s">
        <v>309</v>
      </c>
      <c r="G13" s="8" t="s">
        <v>1048</v>
      </c>
      <c r="H13" s="8" t="s">
        <v>1049</v>
      </c>
    </row>
    <row r="14" customFormat="false" ht="15" hidden="false" customHeight="false" outlineLevel="0" collapsed="false">
      <c r="A14" s="8" t="s">
        <v>1074</v>
      </c>
      <c r="B14" s="8" t="s">
        <v>112</v>
      </c>
      <c r="C14" s="8" t="s">
        <v>1075</v>
      </c>
      <c r="D14" s="9" t="s">
        <v>32</v>
      </c>
      <c r="E14" s="8" t="s">
        <v>1076</v>
      </c>
      <c r="F14" s="8"/>
      <c r="G14" s="8" t="s">
        <v>1048</v>
      </c>
      <c r="H14" s="8" t="s">
        <v>1049</v>
      </c>
    </row>
    <row r="15" customFormat="false" ht="15" hidden="false" customHeight="false" outlineLevel="0" collapsed="false">
      <c r="A15" s="8" t="s">
        <v>1077</v>
      </c>
      <c r="B15" s="8" t="s">
        <v>112</v>
      </c>
      <c r="C15" s="8" t="s">
        <v>1078</v>
      </c>
      <c r="D15" s="9" t="s">
        <v>32</v>
      </c>
      <c r="E15" s="8"/>
      <c r="F15" s="8"/>
      <c r="G15" s="8" t="s">
        <v>1048</v>
      </c>
      <c r="H15" s="8" t="s">
        <v>1049</v>
      </c>
    </row>
    <row r="16" customFormat="false" ht="15" hidden="false" customHeight="false" outlineLevel="0" collapsed="false">
      <c r="A16" s="8" t="s">
        <v>1079</v>
      </c>
      <c r="B16" s="8" t="s">
        <v>112</v>
      </c>
      <c r="C16" s="8" t="s">
        <v>1080</v>
      </c>
      <c r="D16" s="9" t="s">
        <v>32</v>
      </c>
      <c r="E16" s="8"/>
      <c r="F16" s="8"/>
      <c r="G16" s="8" t="s">
        <v>1048</v>
      </c>
      <c r="H16" s="8" t="s">
        <v>1049</v>
      </c>
    </row>
    <row r="17" customFormat="false" ht="24" hidden="false" customHeight="false" outlineLevel="0" collapsed="false">
      <c r="A17" s="8" t="s">
        <v>1081</v>
      </c>
      <c r="B17" s="8" t="s">
        <v>112</v>
      </c>
      <c r="C17" s="8" t="s">
        <v>1082</v>
      </c>
      <c r="D17" s="9" t="s">
        <v>32</v>
      </c>
      <c r="E17" s="8" t="s">
        <v>1083</v>
      </c>
      <c r="F17" s="8"/>
      <c r="G17" s="8" t="s">
        <v>1048</v>
      </c>
      <c r="H17" s="8" t="s">
        <v>1049</v>
      </c>
    </row>
    <row r="18" customFormat="false" ht="24" hidden="false" customHeight="false" outlineLevel="0" collapsed="false">
      <c r="A18" s="8" t="s">
        <v>1084</v>
      </c>
      <c r="B18" s="8" t="s">
        <v>112</v>
      </c>
      <c r="C18" s="8" t="s">
        <v>1085</v>
      </c>
      <c r="D18" s="9" t="s">
        <v>1072</v>
      </c>
      <c r="E18" s="8" t="s">
        <v>1086</v>
      </c>
      <c r="F18" s="8" t="s">
        <v>309</v>
      </c>
      <c r="G18" s="8" t="s">
        <v>1048</v>
      </c>
      <c r="H18" s="8" t="s">
        <v>1049</v>
      </c>
    </row>
    <row r="19" customFormat="false" ht="15" hidden="false" customHeight="false" outlineLevel="0" collapsed="false">
      <c r="A19" s="8" t="s">
        <v>1087</v>
      </c>
      <c r="B19" s="8" t="s">
        <v>155</v>
      </c>
      <c r="C19" s="8" t="s">
        <v>1088</v>
      </c>
      <c r="D19" s="9" t="s">
        <v>32</v>
      </c>
      <c r="E19" s="8"/>
      <c r="F19" s="8"/>
      <c r="G19" s="8" t="s">
        <v>1048</v>
      </c>
      <c r="H19" s="8" t="s">
        <v>1049</v>
      </c>
    </row>
    <row r="20" customFormat="false" ht="15" hidden="false" customHeight="false" outlineLevel="0" collapsed="false">
      <c r="A20" s="8" t="s">
        <v>1089</v>
      </c>
      <c r="B20" s="8" t="s">
        <v>155</v>
      </c>
      <c r="C20" s="8" t="s">
        <v>1090</v>
      </c>
      <c r="D20" s="9" t="s">
        <v>32</v>
      </c>
      <c r="E20" s="8"/>
      <c r="F20" s="8"/>
      <c r="G20" s="8" t="s">
        <v>1048</v>
      </c>
      <c r="H20" s="8" t="s">
        <v>1049</v>
      </c>
    </row>
    <row r="21" customFormat="false" ht="15" hidden="false" customHeight="false" outlineLevel="0" collapsed="false">
      <c r="A21" s="8" t="s">
        <v>1091</v>
      </c>
      <c r="B21" s="8" t="s">
        <v>155</v>
      </c>
      <c r="C21" s="8" t="s">
        <v>1092</v>
      </c>
      <c r="D21" s="9" t="s">
        <v>32</v>
      </c>
      <c r="E21" s="8" t="s">
        <v>1093</v>
      </c>
      <c r="F21" s="8"/>
      <c r="G21" s="8" t="s">
        <v>1048</v>
      </c>
      <c r="H21" s="8" t="s">
        <v>1049</v>
      </c>
    </row>
    <row r="22" customFormat="false" ht="15" hidden="false" customHeight="false" outlineLevel="0" collapsed="false">
      <c r="A22" s="8" t="s">
        <v>1094</v>
      </c>
      <c r="B22" s="8" t="s">
        <v>155</v>
      </c>
      <c r="C22" s="8" t="s">
        <v>1095</v>
      </c>
      <c r="D22" s="9" t="s">
        <v>32</v>
      </c>
      <c r="E22" s="8"/>
      <c r="F22" s="8"/>
      <c r="G22" s="8" t="s">
        <v>1048</v>
      </c>
      <c r="H22" s="8" t="s">
        <v>1049</v>
      </c>
    </row>
    <row r="23" customFormat="false" ht="15" hidden="false" customHeight="false" outlineLevel="0" collapsed="false">
      <c r="A23" s="8" t="s">
        <v>1096</v>
      </c>
      <c r="B23" s="8" t="s">
        <v>155</v>
      </c>
      <c r="C23" s="8" t="s">
        <v>1097</v>
      </c>
      <c r="D23" s="9" t="s">
        <v>32</v>
      </c>
      <c r="E23" s="8" t="s">
        <v>1098</v>
      </c>
      <c r="F23" s="8"/>
      <c r="G23" s="8" t="s">
        <v>1048</v>
      </c>
      <c r="H23" s="8" t="s">
        <v>1049</v>
      </c>
    </row>
    <row r="24" customFormat="false" ht="15" hidden="false" customHeight="false" outlineLevel="0" collapsed="false">
      <c r="A24" s="8" t="s">
        <v>1099</v>
      </c>
      <c r="B24" s="8" t="s">
        <v>197</v>
      </c>
      <c r="C24" s="8" t="s">
        <v>1100</v>
      </c>
      <c r="D24" s="9" t="s">
        <v>32</v>
      </c>
      <c r="E24" s="8" t="s">
        <v>1101</v>
      </c>
      <c r="F24" s="8"/>
      <c r="G24" s="8" t="s">
        <v>1048</v>
      </c>
      <c r="H24" s="8" t="s">
        <v>1049</v>
      </c>
    </row>
    <row r="25" customFormat="false" ht="15" hidden="false" customHeight="false" outlineLevel="0" collapsed="false">
      <c r="A25" s="8" t="s">
        <v>1102</v>
      </c>
      <c r="B25" s="8" t="s">
        <v>197</v>
      </c>
      <c r="C25" s="8" t="s">
        <v>1103</v>
      </c>
      <c r="D25" s="9" t="s">
        <v>32</v>
      </c>
      <c r="E25" s="8"/>
      <c r="F25" s="8"/>
      <c r="G25" s="8" t="s">
        <v>1048</v>
      </c>
      <c r="H25" s="8" t="s">
        <v>1049</v>
      </c>
    </row>
    <row r="26" customFormat="false" ht="15" hidden="false" customHeight="false" outlineLevel="0" collapsed="false">
      <c r="A26" s="8" t="s">
        <v>1104</v>
      </c>
      <c r="B26" s="8" t="s">
        <v>197</v>
      </c>
      <c r="C26" s="8" t="s">
        <v>1105</v>
      </c>
      <c r="D26" s="9" t="s">
        <v>32</v>
      </c>
      <c r="E26" s="8" t="s">
        <v>1106</v>
      </c>
      <c r="F26" s="8"/>
      <c r="G26" s="8" t="s">
        <v>1048</v>
      </c>
      <c r="H26" s="8" t="s">
        <v>1049</v>
      </c>
    </row>
    <row r="27" customFormat="false" ht="15" hidden="false" customHeight="false" outlineLevel="0" collapsed="false">
      <c r="A27" s="8" t="s">
        <v>1107</v>
      </c>
      <c r="B27" s="8" t="s">
        <v>197</v>
      </c>
      <c r="C27" s="8" t="s">
        <v>1108</v>
      </c>
      <c r="D27" s="9" t="s">
        <v>32</v>
      </c>
      <c r="E27" s="8" t="s">
        <v>1109</v>
      </c>
      <c r="F27" s="8"/>
      <c r="G27" s="8" t="s">
        <v>1048</v>
      </c>
      <c r="H27" s="8" t="s">
        <v>1049</v>
      </c>
    </row>
    <row r="28" customFormat="false" ht="15" hidden="false" customHeight="false" outlineLevel="0" collapsed="false">
      <c r="A28" s="8" t="s">
        <v>1110</v>
      </c>
      <c r="B28" s="8" t="s">
        <v>238</v>
      </c>
      <c r="C28" s="8" t="s">
        <v>1111</v>
      </c>
      <c r="D28" s="9" t="s">
        <v>32</v>
      </c>
      <c r="E28" s="8"/>
      <c r="F28" s="8"/>
      <c r="G28" s="8" t="s">
        <v>1048</v>
      </c>
      <c r="H28" s="8" t="s">
        <v>1049</v>
      </c>
    </row>
    <row r="29" customFormat="false" ht="15" hidden="false" customHeight="false" outlineLevel="0" collapsed="false">
      <c r="A29" s="8" t="s">
        <v>1112</v>
      </c>
      <c r="B29" s="8" t="s">
        <v>238</v>
      </c>
      <c r="C29" s="8" t="s">
        <v>1113</v>
      </c>
      <c r="D29" s="9" t="s">
        <v>32</v>
      </c>
      <c r="E29" s="8" t="s">
        <v>1114</v>
      </c>
      <c r="F29" s="8"/>
      <c r="G29" s="8" t="s">
        <v>1048</v>
      </c>
      <c r="H29" s="8" t="s">
        <v>1049</v>
      </c>
    </row>
    <row r="30" customFormat="false" ht="15" hidden="false" customHeight="false" outlineLevel="0" collapsed="false">
      <c r="A30" s="8" t="s">
        <v>1115</v>
      </c>
      <c r="B30" s="8" t="s">
        <v>238</v>
      </c>
      <c r="C30" s="8" t="s">
        <v>1116</v>
      </c>
      <c r="D30" s="9" t="s">
        <v>32</v>
      </c>
      <c r="E30" s="8"/>
      <c r="F30" s="8"/>
      <c r="G30" s="8" t="s">
        <v>1048</v>
      </c>
      <c r="H30" s="8" t="s">
        <v>1049</v>
      </c>
    </row>
    <row r="31" customFormat="false" ht="15" hidden="false" customHeight="false" outlineLevel="0" collapsed="false">
      <c r="A31" s="8" t="s">
        <v>1117</v>
      </c>
      <c r="B31" s="8" t="s">
        <v>238</v>
      </c>
      <c r="C31" s="8" t="s">
        <v>1118</v>
      </c>
      <c r="D31" s="9" t="s">
        <v>32</v>
      </c>
      <c r="E31" s="8"/>
      <c r="F31" s="8"/>
      <c r="G31" s="8" t="s">
        <v>1048</v>
      </c>
      <c r="H31" s="8" t="s">
        <v>1049</v>
      </c>
    </row>
    <row r="32" customFormat="false" ht="15" hidden="false" customHeight="false" outlineLevel="0" collapsed="false">
      <c r="A32" s="8" t="s">
        <v>1119</v>
      </c>
      <c r="B32" s="8" t="s">
        <v>238</v>
      </c>
      <c r="C32" s="8" t="s">
        <v>1120</v>
      </c>
      <c r="D32" s="9" t="s">
        <v>32</v>
      </c>
      <c r="E32" s="8" t="s">
        <v>1121</v>
      </c>
      <c r="F32" s="8"/>
      <c r="G32" s="8" t="s">
        <v>1048</v>
      </c>
      <c r="H32" s="8" t="s">
        <v>1049</v>
      </c>
    </row>
    <row r="33" customFormat="false" ht="15" hidden="false" customHeight="false" outlineLevel="0" collapsed="false">
      <c r="A33" s="8" t="s">
        <v>1122</v>
      </c>
      <c r="B33" s="8" t="s">
        <v>275</v>
      </c>
      <c r="C33" s="8" t="s">
        <v>1123</v>
      </c>
      <c r="D33" s="9" t="s">
        <v>32</v>
      </c>
      <c r="E33" s="8"/>
      <c r="F33" s="8"/>
      <c r="G33" s="8" t="s">
        <v>1048</v>
      </c>
      <c r="H33" s="8" t="s">
        <v>1049</v>
      </c>
    </row>
    <row r="34" customFormat="false" ht="15" hidden="false" customHeight="false" outlineLevel="0" collapsed="false">
      <c r="A34" s="8" t="s">
        <v>1124</v>
      </c>
      <c r="B34" s="8" t="s">
        <v>295</v>
      </c>
      <c r="C34" s="8" t="s">
        <v>1125</v>
      </c>
      <c r="D34" s="9" t="s">
        <v>32</v>
      </c>
      <c r="E34" s="8"/>
      <c r="F34" s="8"/>
      <c r="G34" s="8" t="s">
        <v>1048</v>
      </c>
      <c r="H34" s="8" t="s">
        <v>1049</v>
      </c>
    </row>
    <row r="35" customFormat="false" ht="15" hidden="false" customHeight="false" outlineLevel="0" collapsed="false">
      <c r="A35" s="8" t="s">
        <v>1126</v>
      </c>
      <c r="B35" s="8" t="s">
        <v>295</v>
      </c>
      <c r="C35" s="8" t="s">
        <v>1127</v>
      </c>
      <c r="D35" s="9" t="s">
        <v>32</v>
      </c>
      <c r="E35" s="8"/>
      <c r="F35" s="8"/>
      <c r="G35" s="8" t="s">
        <v>1048</v>
      </c>
      <c r="H35" s="8" t="s">
        <v>1049</v>
      </c>
    </row>
    <row r="36" customFormat="false" ht="15" hidden="false" customHeight="false" outlineLevel="0" collapsed="false">
      <c r="A36" s="8" t="s">
        <v>1128</v>
      </c>
      <c r="B36" s="8" t="s">
        <v>295</v>
      </c>
      <c r="C36" s="8" t="s">
        <v>1129</v>
      </c>
      <c r="D36" s="9" t="s">
        <v>32</v>
      </c>
      <c r="E36" s="8"/>
      <c r="F36" s="8"/>
      <c r="G36" s="8" t="s">
        <v>1048</v>
      </c>
      <c r="H36" s="8" t="s">
        <v>1130</v>
      </c>
    </row>
    <row r="37" customFormat="false" ht="15" hidden="false" customHeight="false" outlineLevel="0" collapsed="false">
      <c r="A37" s="8" t="s">
        <v>1131</v>
      </c>
      <c r="B37" s="8" t="s">
        <v>1132</v>
      </c>
      <c r="C37" s="8" t="s">
        <v>1133</v>
      </c>
      <c r="D37" s="9" t="s">
        <v>32</v>
      </c>
      <c r="E37" s="8"/>
      <c r="F37" s="8"/>
      <c r="G37" s="8" t="s">
        <v>1048</v>
      </c>
      <c r="H37" s="8" t="s">
        <v>1130</v>
      </c>
    </row>
    <row r="38" customFormat="false" ht="24" hidden="false" customHeight="false" outlineLevel="0" collapsed="false">
      <c r="A38" s="8" t="s">
        <v>1134</v>
      </c>
      <c r="B38" s="8" t="s">
        <v>302</v>
      </c>
      <c r="C38" s="8" t="s">
        <v>1135</v>
      </c>
      <c r="D38" s="9" t="s">
        <v>32</v>
      </c>
      <c r="E38" s="8" t="s">
        <v>1136</v>
      </c>
      <c r="F38" s="8"/>
      <c r="G38" s="8" t="s">
        <v>1137</v>
      </c>
      <c r="H38" s="8" t="s">
        <v>1049</v>
      </c>
    </row>
    <row r="39" customFormat="false" ht="24" hidden="false" customHeight="false" outlineLevel="0" collapsed="false">
      <c r="A39" s="8" t="s">
        <v>1138</v>
      </c>
      <c r="B39" s="8" t="s">
        <v>302</v>
      </c>
      <c r="C39" s="8" t="s">
        <v>1139</v>
      </c>
      <c r="D39" s="9" t="s">
        <v>32</v>
      </c>
      <c r="E39" s="8"/>
      <c r="F39" s="8"/>
      <c r="G39" s="8" t="s">
        <v>1137</v>
      </c>
      <c r="H39" s="8" t="s">
        <v>1049</v>
      </c>
    </row>
    <row r="40" customFormat="false" ht="24" hidden="false" customHeight="false" outlineLevel="0" collapsed="false">
      <c r="A40" s="8" t="s">
        <v>1140</v>
      </c>
      <c r="B40" s="8" t="s">
        <v>348</v>
      </c>
      <c r="C40" s="8" t="s">
        <v>1141</v>
      </c>
      <c r="D40" s="9" t="s">
        <v>32</v>
      </c>
      <c r="E40" s="8" t="s">
        <v>1142</v>
      </c>
      <c r="F40" s="8"/>
      <c r="G40" s="8" t="s">
        <v>1137</v>
      </c>
      <c r="H40" s="8" t="s">
        <v>1049</v>
      </c>
    </row>
    <row r="41" customFormat="false" ht="24" hidden="false" customHeight="false" outlineLevel="0" collapsed="false">
      <c r="A41" s="8" t="s">
        <v>1143</v>
      </c>
      <c r="B41" s="8" t="s">
        <v>302</v>
      </c>
      <c r="C41" s="8" t="s">
        <v>1144</v>
      </c>
      <c r="D41" s="9" t="s">
        <v>32</v>
      </c>
      <c r="E41" s="8" t="s">
        <v>1145</v>
      </c>
      <c r="F41" s="8"/>
      <c r="G41" s="8" t="s">
        <v>1137</v>
      </c>
      <c r="H41" s="8" t="s">
        <v>1049</v>
      </c>
    </row>
    <row r="42" customFormat="false" ht="24" hidden="false" customHeight="false" outlineLevel="0" collapsed="false">
      <c r="A42" s="8" t="s">
        <v>1146</v>
      </c>
      <c r="B42" s="8" t="s">
        <v>348</v>
      </c>
      <c r="C42" s="8" t="s">
        <v>1147</v>
      </c>
      <c r="D42" s="9" t="s">
        <v>32</v>
      </c>
      <c r="E42" s="8" t="s">
        <v>1148</v>
      </c>
      <c r="F42" s="8"/>
      <c r="G42" s="8" t="s">
        <v>1137</v>
      </c>
      <c r="H42" s="8" t="s">
        <v>1049</v>
      </c>
    </row>
    <row r="43" customFormat="false" ht="24" hidden="false" customHeight="false" outlineLevel="0" collapsed="false">
      <c r="A43" s="8" t="s">
        <v>1149</v>
      </c>
      <c r="B43" s="8" t="s">
        <v>112</v>
      </c>
      <c r="C43" s="8" t="s">
        <v>1150</v>
      </c>
      <c r="D43" s="9" t="s">
        <v>32</v>
      </c>
      <c r="E43" s="8"/>
      <c r="F43" s="8"/>
      <c r="G43" s="8" t="s">
        <v>1137</v>
      </c>
      <c r="H43" s="8" t="s">
        <v>1049</v>
      </c>
    </row>
    <row r="44" customFormat="false" ht="15" hidden="false" customHeight="false" outlineLevel="0" collapsed="false">
      <c r="A44" s="8" t="s">
        <v>1151</v>
      </c>
      <c r="B44" s="8" t="s">
        <v>348</v>
      </c>
      <c r="C44" s="8" t="s">
        <v>1152</v>
      </c>
      <c r="D44" s="9" t="s">
        <v>32</v>
      </c>
      <c r="E44" s="8" t="s">
        <v>1153</v>
      </c>
      <c r="F44" s="8"/>
      <c r="G44" s="8" t="s">
        <v>1137</v>
      </c>
      <c r="H44" s="8" t="s">
        <v>1049</v>
      </c>
    </row>
    <row r="45" customFormat="false" ht="35" hidden="false" customHeight="false" outlineLevel="0" collapsed="false">
      <c r="A45" s="8" t="s">
        <v>1154</v>
      </c>
      <c r="B45" s="8" t="s">
        <v>348</v>
      </c>
      <c r="C45" s="8" t="s">
        <v>1155</v>
      </c>
      <c r="D45" s="9" t="s">
        <v>1072</v>
      </c>
      <c r="E45" s="8" t="s">
        <v>1156</v>
      </c>
      <c r="F45" s="8" t="s">
        <v>309</v>
      </c>
      <c r="G45" s="8" t="s">
        <v>1137</v>
      </c>
      <c r="H45" s="8" t="s">
        <v>1049</v>
      </c>
    </row>
    <row r="46" customFormat="false" ht="24" hidden="false" customHeight="false" outlineLevel="0" collapsed="false">
      <c r="A46" s="8" t="s">
        <v>1157</v>
      </c>
      <c r="B46" s="8" t="s">
        <v>348</v>
      </c>
      <c r="C46" s="8" t="s">
        <v>1158</v>
      </c>
      <c r="D46" s="9" t="s">
        <v>32</v>
      </c>
      <c r="E46" s="8"/>
      <c r="F46" s="8"/>
      <c r="G46" s="8" t="s">
        <v>1137</v>
      </c>
      <c r="H46" s="8" t="s">
        <v>1049</v>
      </c>
    </row>
    <row r="47" customFormat="false" ht="24" hidden="false" customHeight="false" outlineLevel="0" collapsed="false">
      <c r="A47" s="8" t="s">
        <v>1159</v>
      </c>
      <c r="B47" s="8" t="s">
        <v>295</v>
      </c>
      <c r="C47" s="8" t="s">
        <v>1160</v>
      </c>
      <c r="D47" s="9" t="s">
        <v>32</v>
      </c>
      <c r="E47" s="8"/>
      <c r="F47" s="8"/>
      <c r="G47" s="8" t="s">
        <v>1137</v>
      </c>
      <c r="H47" s="8" t="s">
        <v>1130</v>
      </c>
    </row>
    <row r="48" customFormat="false" ht="24" hidden="false" customHeight="false" outlineLevel="0" collapsed="false">
      <c r="A48" s="8" t="s">
        <v>1161</v>
      </c>
      <c r="B48" s="8" t="s">
        <v>197</v>
      </c>
      <c r="C48" s="8" t="s">
        <v>1162</v>
      </c>
      <c r="D48" s="9" t="s">
        <v>32</v>
      </c>
      <c r="E48" s="8" t="s">
        <v>1163</v>
      </c>
      <c r="F48" s="8"/>
      <c r="G48" s="8" t="s">
        <v>1137</v>
      </c>
      <c r="H48" s="8" t="s">
        <v>1049</v>
      </c>
    </row>
    <row r="49" customFormat="false" ht="24" hidden="false" customHeight="false" outlineLevel="0" collapsed="false">
      <c r="A49" s="8" t="s">
        <v>1164</v>
      </c>
      <c r="B49" s="8" t="s">
        <v>348</v>
      </c>
      <c r="C49" s="8" t="s">
        <v>1165</v>
      </c>
      <c r="D49" s="9" t="s">
        <v>32</v>
      </c>
      <c r="E49" s="8"/>
      <c r="F49" s="8"/>
      <c r="G49" s="8" t="s">
        <v>1137</v>
      </c>
      <c r="H49" s="8" t="s">
        <v>1049</v>
      </c>
    </row>
    <row r="50" customFormat="false" ht="15" hidden="false" customHeight="false" outlineLevel="0" collapsed="false">
      <c r="A50" s="8" t="s">
        <v>1166</v>
      </c>
      <c r="B50" s="8" t="s">
        <v>348</v>
      </c>
      <c r="C50" s="8" t="s">
        <v>1167</v>
      </c>
      <c r="D50" s="9" t="s">
        <v>32</v>
      </c>
      <c r="E50" s="8" t="s">
        <v>1168</v>
      </c>
      <c r="F50" s="8"/>
      <c r="G50" s="8" t="s">
        <v>1137</v>
      </c>
      <c r="H50" s="8" t="s">
        <v>1049</v>
      </c>
    </row>
    <row r="51" customFormat="false" ht="24" hidden="false" customHeight="false" outlineLevel="0" collapsed="false">
      <c r="A51" s="8" t="s">
        <v>1169</v>
      </c>
      <c r="B51" s="8" t="s">
        <v>275</v>
      </c>
      <c r="C51" s="8" t="s">
        <v>1170</v>
      </c>
      <c r="D51" s="9" t="s">
        <v>32</v>
      </c>
      <c r="E51" s="8" t="s">
        <v>1171</v>
      </c>
      <c r="F51" s="8"/>
      <c r="G51" s="8" t="s">
        <v>1137</v>
      </c>
      <c r="H51" s="8" t="s">
        <v>1049</v>
      </c>
    </row>
    <row r="52" customFormat="false" ht="35" hidden="false" customHeight="false" outlineLevel="0" collapsed="false">
      <c r="A52" s="8" t="s">
        <v>1172</v>
      </c>
      <c r="B52" s="8" t="s">
        <v>58</v>
      </c>
      <c r="C52" s="8" t="s">
        <v>1173</v>
      </c>
      <c r="D52" s="9" t="s">
        <v>32</v>
      </c>
      <c r="E52" s="8"/>
      <c r="F52" s="8"/>
      <c r="G52" s="8" t="s">
        <v>1174</v>
      </c>
      <c r="H52" s="8" t="s">
        <v>1049</v>
      </c>
    </row>
    <row r="53" customFormat="false" ht="24" hidden="false" customHeight="false" outlineLevel="0" collapsed="false">
      <c r="A53" s="8" t="s">
        <v>1175</v>
      </c>
      <c r="B53" s="8" t="s">
        <v>302</v>
      </c>
      <c r="C53" s="8" t="s">
        <v>1176</v>
      </c>
      <c r="D53" s="9" t="s">
        <v>32</v>
      </c>
      <c r="E53" s="8" t="s">
        <v>1177</v>
      </c>
      <c r="F53" s="8"/>
      <c r="G53" s="8" t="s">
        <v>1137</v>
      </c>
      <c r="H53" s="8" t="s">
        <v>1049</v>
      </c>
    </row>
  </sheetData>
  <autoFilter ref="A1:H53"/>
  <dataValidations count="1">
    <dataValidation allowBlank="true" errorStyle="stop" operator="between" showDropDown="false" showErrorMessage="false" showInputMessage="false" sqref="D2:D254" type="list">
      <formula1>"open,answered,dropped"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4" min="3" style="0" width="50"/>
    <col collapsed="false" customWidth="true" hidden="false" outlineLevel="0" max="5" min="5" style="0" width="40"/>
    <col collapsed="false" customWidth="true" hidden="false" outlineLevel="0" max="6" min="6" style="0" width="16"/>
    <col collapsed="false" customWidth="true" hidden="false" outlineLevel="0" max="7" min="7" style="0" width="80"/>
  </cols>
  <sheetData>
    <row r="1" customFormat="false" ht="15" hidden="false" customHeight="false" outlineLevel="0" collapsed="false">
      <c r="A1" s="7" t="s">
        <v>42</v>
      </c>
      <c r="B1" s="7" t="s">
        <v>1178</v>
      </c>
      <c r="C1" s="7" t="s">
        <v>1043</v>
      </c>
      <c r="D1" s="7" t="s">
        <v>1179</v>
      </c>
      <c r="E1" s="7" t="s">
        <v>1180</v>
      </c>
      <c r="F1" s="7" t="s">
        <v>1181</v>
      </c>
      <c r="G1" s="7" t="s">
        <v>1182</v>
      </c>
    </row>
    <row r="2" customFormat="false" ht="24" hidden="false" customHeight="false" outlineLevel="0" collapsed="false">
      <c r="A2" s="8" t="s">
        <v>1183</v>
      </c>
      <c r="B2" s="8" t="s">
        <v>309</v>
      </c>
      <c r="C2" s="8" t="s">
        <v>1184</v>
      </c>
      <c r="D2" s="8" t="s">
        <v>1185</v>
      </c>
      <c r="E2" s="8" t="s">
        <v>1186</v>
      </c>
      <c r="F2" s="8" t="s">
        <v>387</v>
      </c>
      <c r="G2" s="8" t="s">
        <v>1187</v>
      </c>
    </row>
    <row r="3" customFormat="false" ht="24" hidden="false" customHeight="false" outlineLevel="0" collapsed="false">
      <c r="A3" s="8" t="s">
        <v>1188</v>
      </c>
      <c r="B3" s="8" t="s">
        <v>309</v>
      </c>
      <c r="C3" s="8" t="s">
        <v>1189</v>
      </c>
      <c r="D3" s="8" t="s">
        <v>1190</v>
      </c>
      <c r="E3" s="8" t="s">
        <v>1191</v>
      </c>
      <c r="F3" s="8" t="s">
        <v>346</v>
      </c>
      <c r="G3" s="8" t="s">
        <v>1192</v>
      </c>
    </row>
    <row r="4" customFormat="false" ht="46" hidden="false" customHeight="false" outlineLevel="0" collapsed="false">
      <c r="A4" s="8" t="s">
        <v>1193</v>
      </c>
      <c r="B4" s="8" t="s">
        <v>309</v>
      </c>
      <c r="C4" s="8" t="s">
        <v>1194</v>
      </c>
      <c r="D4" s="8" t="s">
        <v>1195</v>
      </c>
      <c r="E4" s="8" t="s">
        <v>1196</v>
      </c>
      <c r="F4" s="8" t="s">
        <v>1197</v>
      </c>
      <c r="G4" s="8" t="s">
        <v>1198</v>
      </c>
    </row>
    <row r="5" customFormat="false" ht="24" hidden="false" customHeight="false" outlineLevel="0" collapsed="false">
      <c r="A5" s="8" t="s">
        <v>1199</v>
      </c>
      <c r="B5" s="8" t="s">
        <v>309</v>
      </c>
      <c r="C5" s="8" t="s">
        <v>1200</v>
      </c>
      <c r="D5" s="8" t="s">
        <v>1201</v>
      </c>
      <c r="E5" s="8" t="s">
        <v>1202</v>
      </c>
      <c r="F5" s="8" t="s">
        <v>402</v>
      </c>
      <c r="G5" s="8" t="s">
        <v>1203</v>
      </c>
    </row>
    <row r="6" customFormat="false" ht="35" hidden="false" customHeight="false" outlineLevel="0" collapsed="false">
      <c r="A6" s="8" t="s">
        <v>1204</v>
      </c>
      <c r="B6" s="8" t="s">
        <v>309</v>
      </c>
      <c r="C6" s="8" t="s">
        <v>1205</v>
      </c>
      <c r="D6" s="8" t="s">
        <v>1206</v>
      </c>
      <c r="E6" s="8" t="s">
        <v>1207</v>
      </c>
      <c r="F6" s="8" t="s">
        <v>1208</v>
      </c>
      <c r="G6" s="8" t="s">
        <v>1209</v>
      </c>
    </row>
    <row r="7" customFormat="false" ht="24" hidden="false" customHeight="false" outlineLevel="0" collapsed="false">
      <c r="A7" s="8" t="s">
        <v>1210</v>
      </c>
      <c r="B7" s="8" t="s">
        <v>309</v>
      </c>
      <c r="C7" s="8" t="s">
        <v>1211</v>
      </c>
      <c r="D7" s="8" t="s">
        <v>1212</v>
      </c>
      <c r="E7" s="8" t="s">
        <v>1213</v>
      </c>
      <c r="F7" s="8" t="s">
        <v>300</v>
      </c>
      <c r="G7" s="8" t="s">
        <v>1214</v>
      </c>
    </row>
    <row r="8" customFormat="false" ht="24" hidden="false" customHeight="false" outlineLevel="0" collapsed="false">
      <c r="A8" s="8" t="s">
        <v>1215</v>
      </c>
      <c r="B8" s="8" t="s">
        <v>309</v>
      </c>
      <c r="C8" s="8" t="s">
        <v>1216</v>
      </c>
      <c r="D8" s="8" t="s">
        <v>1217</v>
      </c>
      <c r="E8" s="8" t="s">
        <v>1218</v>
      </c>
      <c r="F8" s="8" t="s">
        <v>368</v>
      </c>
      <c r="G8" s="8" t="s">
        <v>1219</v>
      </c>
    </row>
    <row r="9" customFormat="false" ht="24" hidden="false" customHeight="false" outlineLevel="0" collapsed="false">
      <c r="A9" s="8" t="s">
        <v>1220</v>
      </c>
      <c r="B9" s="8" t="s">
        <v>309</v>
      </c>
      <c r="C9" s="8" t="s">
        <v>1221</v>
      </c>
      <c r="D9" s="8" t="s">
        <v>1222</v>
      </c>
      <c r="E9" s="8" t="s">
        <v>1223</v>
      </c>
      <c r="F9" s="8" t="s">
        <v>1224</v>
      </c>
      <c r="G9" s="8" t="s">
        <v>1225</v>
      </c>
    </row>
    <row r="10" customFormat="false" ht="24" hidden="false" customHeight="false" outlineLevel="0" collapsed="false">
      <c r="A10" s="8" t="s">
        <v>1226</v>
      </c>
      <c r="B10" s="8" t="s">
        <v>309</v>
      </c>
      <c r="C10" s="8" t="s">
        <v>1227</v>
      </c>
      <c r="D10" s="8" t="s">
        <v>1228</v>
      </c>
      <c r="E10" s="8" t="s">
        <v>1229</v>
      </c>
      <c r="F10" s="8" t="s">
        <v>1230</v>
      </c>
      <c r="G10" s="8" t="s">
        <v>1231</v>
      </c>
    </row>
    <row r="11" customFormat="false" ht="24" hidden="false" customHeight="false" outlineLevel="0" collapsed="false">
      <c r="A11" s="8" t="s">
        <v>1232</v>
      </c>
      <c r="B11" s="8" t="s">
        <v>309</v>
      </c>
      <c r="C11" s="8" t="s">
        <v>1233</v>
      </c>
      <c r="D11" s="8" t="s">
        <v>1234</v>
      </c>
      <c r="E11" s="8" t="s">
        <v>1235</v>
      </c>
      <c r="F11" s="8" t="s">
        <v>409</v>
      </c>
      <c r="G11" s="8" t="s">
        <v>1236</v>
      </c>
    </row>
    <row r="12" customFormat="false" ht="24" hidden="false" customHeight="false" outlineLevel="0" collapsed="false">
      <c r="A12" s="8" t="s">
        <v>1237</v>
      </c>
      <c r="B12" s="8" t="s">
        <v>309</v>
      </c>
      <c r="C12" s="8" t="s">
        <v>1238</v>
      </c>
      <c r="D12" s="8" t="s">
        <v>1239</v>
      </c>
      <c r="E12" s="8" t="s">
        <v>1240</v>
      </c>
      <c r="F12" s="8" t="s">
        <v>393</v>
      </c>
      <c r="G12" s="8" t="s">
        <v>1241</v>
      </c>
    </row>
    <row r="13" customFormat="false" ht="24" hidden="false" customHeight="false" outlineLevel="0" collapsed="false">
      <c r="A13" s="8" t="s">
        <v>1242</v>
      </c>
      <c r="B13" s="8" t="s">
        <v>309</v>
      </c>
      <c r="C13" s="8" t="s">
        <v>1243</v>
      </c>
      <c r="D13" s="8" t="s">
        <v>1244</v>
      </c>
      <c r="E13" s="8" t="s">
        <v>1245</v>
      </c>
      <c r="F13" s="8" t="s">
        <v>393</v>
      </c>
      <c r="G13" s="8" t="s">
        <v>1246</v>
      </c>
    </row>
    <row r="14" customFormat="false" ht="24" hidden="false" customHeight="false" outlineLevel="0" collapsed="false">
      <c r="A14" s="8" t="s">
        <v>1247</v>
      </c>
      <c r="B14" s="8" t="s">
        <v>309</v>
      </c>
      <c r="C14" s="8" t="s">
        <v>1248</v>
      </c>
      <c r="D14" s="8" t="s">
        <v>1249</v>
      </c>
      <c r="E14" s="8" t="s">
        <v>1250</v>
      </c>
      <c r="F14" s="8" t="s">
        <v>1251</v>
      </c>
      <c r="G14" s="8" t="s">
        <v>1252</v>
      </c>
    </row>
    <row r="15" customFormat="false" ht="24" hidden="false" customHeight="false" outlineLevel="0" collapsed="false">
      <c r="A15" s="8" t="s">
        <v>1253</v>
      </c>
      <c r="B15" s="8" t="s">
        <v>309</v>
      </c>
      <c r="C15" s="8" t="s">
        <v>1254</v>
      </c>
      <c r="D15" s="8" t="s">
        <v>1255</v>
      </c>
      <c r="E15" s="8" t="s">
        <v>1256</v>
      </c>
      <c r="F15" s="8" t="s">
        <v>379</v>
      </c>
      <c r="G15" s="8" t="s">
        <v>1257</v>
      </c>
    </row>
    <row r="16" customFormat="false" ht="24" hidden="false" customHeight="false" outlineLevel="0" collapsed="false">
      <c r="A16" s="8" t="s">
        <v>1258</v>
      </c>
      <c r="B16" s="8" t="s">
        <v>309</v>
      </c>
      <c r="C16" s="8" t="s">
        <v>1259</v>
      </c>
      <c r="D16" s="8" t="s">
        <v>1260</v>
      </c>
      <c r="E16" s="8" t="s">
        <v>1261</v>
      </c>
      <c r="F16" s="8" t="s">
        <v>409</v>
      </c>
      <c r="G16" s="8" t="s">
        <v>1262</v>
      </c>
    </row>
    <row r="17" customFormat="false" ht="24" hidden="false" customHeight="false" outlineLevel="0" collapsed="false">
      <c r="A17" s="8" t="s">
        <v>1263</v>
      </c>
      <c r="B17" s="8" t="s">
        <v>309</v>
      </c>
      <c r="C17" s="8" t="s">
        <v>1264</v>
      </c>
      <c r="D17" s="8" t="s">
        <v>1265</v>
      </c>
      <c r="E17" s="8" t="s">
        <v>1266</v>
      </c>
      <c r="F17" s="8" t="s">
        <v>1267</v>
      </c>
      <c r="G17" s="8"/>
    </row>
    <row r="18" customFormat="false" ht="24" hidden="false" customHeight="false" outlineLevel="0" collapsed="false">
      <c r="A18" s="8" t="s">
        <v>1268</v>
      </c>
      <c r="B18" s="8" t="s">
        <v>309</v>
      </c>
      <c r="C18" s="8" t="s">
        <v>1269</v>
      </c>
      <c r="D18" s="8" t="s">
        <v>1270</v>
      </c>
      <c r="E18" s="8" t="s">
        <v>1271</v>
      </c>
      <c r="F18" s="8" t="s">
        <v>362</v>
      </c>
      <c r="G18" s="8" t="s">
        <v>1272</v>
      </c>
    </row>
    <row r="19" customFormat="false" ht="24" hidden="false" customHeight="false" outlineLevel="0" collapsed="false">
      <c r="A19" s="8" t="s">
        <v>1273</v>
      </c>
      <c r="B19" s="8" t="s">
        <v>309</v>
      </c>
      <c r="C19" s="8" t="s">
        <v>1274</v>
      </c>
      <c r="D19" s="8" t="s">
        <v>1275</v>
      </c>
      <c r="E19" s="8" t="s">
        <v>1276</v>
      </c>
      <c r="F19" s="8" t="s">
        <v>1277</v>
      </c>
      <c r="G19" s="8" t="s">
        <v>1278</v>
      </c>
    </row>
    <row r="20" customFormat="false" ht="24" hidden="false" customHeight="false" outlineLevel="0" collapsed="false">
      <c r="A20" s="8" t="s">
        <v>1279</v>
      </c>
      <c r="B20" s="8" t="s">
        <v>309</v>
      </c>
      <c r="C20" s="8" t="s">
        <v>1280</v>
      </c>
      <c r="D20" s="8" t="s">
        <v>1281</v>
      </c>
      <c r="E20" s="8" t="s">
        <v>1282</v>
      </c>
      <c r="F20" s="8" t="s">
        <v>429</v>
      </c>
      <c r="G20" s="8" t="s">
        <v>1283</v>
      </c>
    </row>
    <row r="21" customFormat="false" ht="24" hidden="false" customHeight="false" outlineLevel="0" collapsed="false">
      <c r="A21" s="8" t="s">
        <v>1284</v>
      </c>
      <c r="B21" s="8" t="s">
        <v>309</v>
      </c>
      <c r="C21" s="8" t="s">
        <v>1285</v>
      </c>
      <c r="D21" s="8" t="s">
        <v>1286</v>
      </c>
      <c r="E21" s="8" t="s">
        <v>1287</v>
      </c>
      <c r="F21" s="8" t="s">
        <v>409</v>
      </c>
      <c r="G21" s="8" t="s">
        <v>1288</v>
      </c>
    </row>
    <row r="22" customFormat="false" ht="24" hidden="false" customHeight="false" outlineLevel="0" collapsed="false">
      <c r="A22" s="8" t="s">
        <v>1289</v>
      </c>
      <c r="B22" s="8" t="s">
        <v>309</v>
      </c>
      <c r="C22" s="8" t="s">
        <v>1290</v>
      </c>
      <c r="D22" s="8" t="s">
        <v>1291</v>
      </c>
      <c r="E22" s="8" t="s">
        <v>1292</v>
      </c>
      <c r="F22" s="8" t="s">
        <v>63</v>
      </c>
      <c r="G22" s="8" t="s">
        <v>1293</v>
      </c>
    </row>
  </sheetData>
  <autoFilter ref="A1:G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453125" defaultRowHeight="15" customHeight="fals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20"/>
  </cols>
  <sheetData>
    <row r="1" customFormat="false" ht="15" hidden="false" customHeight="false" outlineLevel="0" collapsed="false">
      <c r="A1" s="7" t="s">
        <v>1178</v>
      </c>
      <c r="B1" s="7" t="s">
        <v>1294</v>
      </c>
      <c r="C1" s="7" t="s">
        <v>1295</v>
      </c>
    </row>
    <row r="2" customFormat="false" ht="24" hidden="false" customHeight="false" outlineLevel="0" collapsed="false">
      <c r="A2" s="8" t="s">
        <v>309</v>
      </c>
      <c r="B2" s="8" t="s">
        <v>1296</v>
      </c>
      <c r="C2" s="8" t="s">
        <v>1297</v>
      </c>
    </row>
    <row r="3" customFormat="false" ht="15" hidden="false" customHeight="false" outlineLevel="0" collapsed="false">
      <c r="A3" s="8" t="s">
        <v>309</v>
      </c>
      <c r="B3" s="8" t="s">
        <v>1298</v>
      </c>
      <c r="C3" s="8" t="s">
        <v>1299</v>
      </c>
    </row>
  </sheetData>
  <autoFilter ref="A1:C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2026-09-21T09:49:52Z</dcterms:created>
  <dc:creator>openpyxl</dc:creator>
  <dc:description/>
  <dc:language>en-GB</dc:language>
  <cp:lastModifiedBy/>
  <dcterms:modified xsi:type="dcterms:W3CDTF">2026-09-21T09:49:53Z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